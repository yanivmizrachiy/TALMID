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05118e1ca8fcb27/Desktop/"/>
    </mc:Choice>
  </mc:AlternateContent>
  <xr:revisionPtr revIDLastSave="1" documentId="11_3196EB016D807994F85FA923F48E55F82995607A" xr6:coauthVersionLast="47" xr6:coauthVersionMax="47" xr10:uidLastSave="{B4F7DF56-E5AA-48EA-8F60-EF1C7676DFE7}"/>
  <bookViews>
    <workbookView minimized="1" xWindow="10410" yWindow="4530" windowWidth="10050" windowHeight="11295" firstSheet="6" activeTab="6" xr2:uid="{00000000-000D-0000-FFFF-FFFF00000000}"/>
  </bookViews>
  <sheets>
    <sheet name="ז' 1 מדעית" sheetId="1" r:id="rId1"/>
    <sheet name="גיליון1" sheetId="2" r:id="rId2"/>
    <sheet name="ז׳ א׳" sheetId="3" r:id="rId3"/>
    <sheet name="ז' א1" sheetId="4" r:id="rId4"/>
    <sheet name="ז' 2 מקדמת" sheetId="5" r:id="rId5"/>
    <sheet name="ח' 1 מדעית" sheetId="6" r:id="rId6"/>
    <sheet name="ח׳ א׳" sheetId="7" r:id="rId7"/>
    <sheet name="ח׳ א1" sheetId="8" r:id="rId8"/>
    <sheet name="ח׳ א׳1" sheetId="9" r:id="rId9"/>
    <sheet name="ח׳ 2 מקדמת" sheetId="10" r:id="rId10"/>
    <sheet name="ח׳ 2 מקדמת - טל נחמיה" sheetId="11" r:id="rId11"/>
    <sheet name="ט׳ 1 מדעית" sheetId="12" r:id="rId12"/>
    <sheet name="ט׳ א׳" sheetId="13" r:id="rId13"/>
    <sheet name="ט׳ א - 1" sheetId="14" r:id="rId14"/>
    <sheet name="ט׳ א1 - נורית מויאל" sheetId="15" r:id="rId15"/>
    <sheet name="ט׳ 2 מקדמת" sheetId="16" r:id="rId16"/>
    <sheet name="סיכום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6" l="1"/>
  <c r="H38" i="16"/>
  <c r="G38" i="16"/>
  <c r="F38" i="16"/>
  <c r="E38" i="16"/>
  <c r="I38" i="15"/>
  <c r="H38" i="15"/>
  <c r="G38" i="15"/>
  <c r="F38" i="15"/>
  <c r="E38" i="15"/>
  <c r="I38" i="14"/>
  <c r="H38" i="14"/>
  <c r="G38" i="14"/>
  <c r="F38" i="14"/>
  <c r="E38" i="14"/>
  <c r="I38" i="13"/>
  <c r="H38" i="13"/>
  <c r="G38" i="13"/>
  <c r="F38" i="13"/>
  <c r="E38" i="13"/>
  <c r="I38" i="12"/>
  <c r="H38" i="12"/>
  <c r="G38" i="12"/>
  <c r="F38" i="12"/>
  <c r="E38" i="12"/>
  <c r="I38" i="11"/>
  <c r="H38" i="11"/>
  <c r="G38" i="11"/>
  <c r="F38" i="11"/>
  <c r="E38" i="11"/>
  <c r="I38" i="10"/>
  <c r="H38" i="10"/>
  <c r="G38" i="10"/>
  <c r="F38" i="10"/>
  <c r="E38" i="10"/>
  <c r="I38" i="9"/>
  <c r="H38" i="9"/>
  <c r="G38" i="9"/>
  <c r="F38" i="9"/>
  <c r="E38" i="9"/>
  <c r="I38" i="8"/>
  <c r="H38" i="8"/>
  <c r="G38" i="8"/>
  <c r="F38" i="8"/>
  <c r="E38" i="8"/>
  <c r="I38" i="7"/>
  <c r="H38" i="7"/>
  <c r="G38" i="7"/>
  <c r="F38" i="7"/>
  <c r="E38" i="7"/>
  <c r="I38" i="6"/>
  <c r="H38" i="6"/>
  <c r="G38" i="6"/>
  <c r="F38" i="6"/>
  <c r="E38" i="6"/>
  <c r="I38" i="5"/>
  <c r="H38" i="5"/>
  <c r="G38" i="5"/>
  <c r="F38" i="5"/>
  <c r="E38" i="5"/>
  <c r="I38" i="4"/>
  <c r="H38" i="4"/>
  <c r="G38" i="4"/>
  <c r="F38" i="4"/>
  <c r="E38" i="4"/>
  <c r="I38" i="3"/>
  <c r="H38" i="3"/>
  <c r="G38" i="3"/>
  <c r="F38" i="3"/>
  <c r="E38" i="3"/>
  <c r="I38" i="1"/>
  <c r="H38" i="1"/>
  <c r="G38" i="1"/>
  <c r="F38" i="1"/>
  <c r="E38" i="1"/>
</calcChain>
</file>

<file path=xl/sharedStrings.xml><?xml version="1.0" encoding="utf-8"?>
<sst xmlns="http://schemas.openxmlformats.org/spreadsheetml/2006/main" count="987" uniqueCount="443">
  <si>
    <t>שכבת ז' – הקבצה ז1 (מדעית) – מורה: טל נחמיה</t>
  </si>
  <si>
    <t> </t>
  </si>
  <si>
    <t>שם משפחה</t>
  </si>
  <si>
    <t>שם פרטי</t>
  </si>
  <si>
    <t>כיתה</t>
  </si>
  <si>
    <t>הערכה 1</t>
  </si>
  <si>
    <t>הערכה 2</t>
  </si>
  <si>
    <t>הערכה 3</t>
  </si>
  <si>
    <t>הערכה 4</t>
  </si>
  <si>
    <t>הערכה 5</t>
  </si>
  <si>
    <t>הערות</t>
  </si>
  <si>
    <t>אוסקר</t>
  </si>
  <si>
    <t>ליהי</t>
  </si>
  <si>
    <t>ז' 1</t>
  </si>
  <si>
    <t>אזולאי</t>
  </si>
  <si>
    <t>לירן</t>
  </si>
  <si>
    <t>ברימט</t>
  </si>
  <si>
    <t>טליה</t>
  </si>
  <si>
    <t>ברקוביץ</t>
  </si>
  <si>
    <t>דניאל</t>
  </si>
  <si>
    <t>דהן</t>
  </si>
  <si>
    <t>בנימין</t>
  </si>
  <si>
    <t>זכריה</t>
  </si>
  <si>
    <t>שיר</t>
  </si>
  <si>
    <t>חודורוב</t>
  </si>
  <si>
    <t>מאיה</t>
  </si>
  <si>
    <t>כהן</t>
  </si>
  <si>
    <t>אופק</t>
  </si>
  <si>
    <t>מוגס</t>
  </si>
  <si>
    <t>דניאלה</t>
  </si>
  <si>
    <t>מזרחי</t>
  </si>
  <si>
    <t>מאור</t>
  </si>
  <si>
    <t>מכחל</t>
  </si>
  <si>
    <t>נועה</t>
  </si>
  <si>
    <t>מלניק</t>
  </si>
  <si>
    <t>נתנאל</t>
  </si>
  <si>
    <t>סיאנוב</t>
  </si>
  <si>
    <t>אוריה</t>
  </si>
  <si>
    <t>עמדי</t>
  </si>
  <si>
    <t>מעיין</t>
  </si>
  <si>
    <t>פאילייב</t>
  </si>
  <si>
    <t>אדל</t>
  </si>
  <si>
    <t>פינקס</t>
  </si>
  <si>
    <t>אריאל</t>
  </si>
  <si>
    <t>ציקווש</t>
  </si>
  <si>
    <t>יהלי</t>
  </si>
  <si>
    <t>רזייב</t>
  </si>
  <si>
    <t>עדינה</t>
  </si>
  <si>
    <t>שוורץ</t>
  </si>
  <si>
    <t>עילי</t>
  </si>
  <si>
    <t>שוורצר</t>
  </si>
  <si>
    <t>סופיה ניצה</t>
  </si>
  <si>
    <t>שכטמן</t>
  </si>
  <si>
    <t>ניר</t>
  </si>
  <si>
    <t>שמש</t>
  </si>
  <si>
    <t>אמילי</t>
  </si>
  <si>
    <t>שצמן</t>
  </si>
  <si>
    <t>יעל</t>
  </si>
  <si>
    <t>ששון</t>
  </si>
  <si>
    <t>אוריה אברהם</t>
  </si>
  <si>
    <t>שכבת ז' – הקבצה א' – מורה: אילנית רז</t>
  </si>
  <si>
    <t>אופיר חיים</t>
  </si>
  <si>
    <t>ז' 4</t>
  </si>
  <si>
    <t>אלישקובי</t>
  </si>
  <si>
    <t>גבריאל</t>
  </si>
  <si>
    <t>ז' 3</t>
  </si>
  <si>
    <t>אמויאל</t>
  </si>
  <si>
    <t>עידן ישראל</t>
  </si>
  <si>
    <t>אסיאג</t>
  </si>
  <si>
    <t>נווה</t>
  </si>
  <si>
    <t>באנון</t>
  </si>
  <si>
    <t>עדי</t>
  </si>
  <si>
    <t>בן</t>
  </si>
  <si>
    <t>כליפה אריאל</t>
  </si>
  <si>
    <t>בנישו</t>
  </si>
  <si>
    <t>אלין</t>
  </si>
  <si>
    <t>גבאי</t>
  </si>
  <si>
    <t>אושרי</t>
  </si>
  <si>
    <t>גיא</t>
  </si>
  <si>
    <t>ירין</t>
  </si>
  <si>
    <t>גידניאן</t>
  </si>
  <si>
    <t>אלרואי משה</t>
  </si>
  <si>
    <t>דנון</t>
  </si>
  <si>
    <t>חקימוב</t>
  </si>
  <si>
    <t>ארטיום</t>
  </si>
  <si>
    <t>יונה</t>
  </si>
  <si>
    <t>עידו</t>
  </si>
  <si>
    <t>ירמיהו</t>
  </si>
  <si>
    <t>אגם</t>
  </si>
  <si>
    <t>נחמו דניאל</t>
  </si>
  <si>
    <t>סתיו</t>
  </si>
  <si>
    <t>סולטן</t>
  </si>
  <si>
    <t>דוד</t>
  </si>
  <si>
    <t>סנבטו</t>
  </si>
  <si>
    <t>טאמנסאו</t>
  </si>
  <si>
    <t>קוסשוילי</t>
  </si>
  <si>
    <t>רבקה</t>
  </si>
  <si>
    <t>רחמים</t>
  </si>
  <si>
    <t>אייל</t>
  </si>
  <si>
    <t>נהוראי שלמה</t>
  </si>
  <si>
    <t>שכבת ז' – הקבצה א1 – מורה: יניב רז</t>
  </si>
  <si>
    <t>אגמי</t>
  </si>
  <si>
    <t>ליאן</t>
  </si>
  <si>
    <t>אדרי</t>
  </si>
  <si>
    <t>איסאס</t>
  </si>
  <si>
    <t>נטע</t>
  </si>
  <si>
    <t>אלמליח</t>
  </si>
  <si>
    <t>ארגזאז</t>
  </si>
  <si>
    <t>עמרם בן חמו</t>
  </si>
  <si>
    <t>ירון</t>
  </si>
  <si>
    <t>בן מיכאל</t>
  </si>
  <si>
    <t>אושר</t>
  </si>
  <si>
    <t>דאבוש</t>
  </si>
  <si>
    <t>אסף</t>
  </si>
  <si>
    <t>אל האילן</t>
  </si>
  <si>
    <t>בת</t>
  </si>
  <si>
    <t>הולנדר</t>
  </si>
  <si>
    <t>לוי אילן</t>
  </si>
  <si>
    <t>עילאי</t>
  </si>
  <si>
    <t>ז' 2</t>
  </si>
  <si>
    <t>ליה</t>
  </si>
  <si>
    <t>צוגרב</t>
  </si>
  <si>
    <t>נטליה</t>
  </si>
  <si>
    <t>שכבת ז' – הקבצה ז2 (מקדמת) – מורה: הילה הנסב</t>
  </si>
  <si>
    <t>אליאב</t>
  </si>
  <si>
    <t>נועם</t>
  </si>
  <si>
    <t>בביוב</t>
  </si>
  <si>
    <t>בן חיים</t>
  </si>
  <si>
    <t>גלי</t>
  </si>
  <si>
    <t>בנד</t>
  </si>
  <si>
    <t>ליאו</t>
  </si>
  <si>
    <t>בר ליעד</t>
  </si>
  <si>
    <t>מאיר</t>
  </si>
  <si>
    <t>דוידוב</t>
  </si>
  <si>
    <t>חפצדי</t>
  </si>
  <si>
    <t>טל-שיר</t>
  </si>
  <si>
    <t>הודיה</t>
  </si>
  <si>
    <t>מזרחי אושר</t>
  </si>
  <si>
    <t>עזרא</t>
  </si>
  <si>
    <t>מנזור</t>
  </si>
  <si>
    <t>אליה</t>
  </si>
  <si>
    <t>פרטוק ליאם</t>
  </si>
  <si>
    <t>ציון</t>
  </si>
  <si>
    <t>צרפי אורי</t>
  </si>
  <si>
    <t>שמעון</t>
  </si>
  <si>
    <t>קידן</t>
  </si>
  <si>
    <t>שי</t>
  </si>
  <si>
    <t>שכבת ח' – הקבצה ח1 (מדעית) – מורה: יניב רז</t>
  </si>
  <si>
    <t>ח' 1</t>
  </si>
  <si>
    <t>בזק</t>
  </si>
  <si>
    <t>איתי</t>
  </si>
  <si>
    <t>גודובניץ</t>
  </si>
  <si>
    <t>אוה</t>
  </si>
  <si>
    <t>גורביץ</t>
  </si>
  <si>
    <t>איתן</t>
  </si>
  <si>
    <t>אוריאן</t>
  </si>
  <si>
    <t>אלמוג מאיר</t>
  </si>
  <si>
    <t>יונתן</t>
  </si>
  <si>
    <t>רום אל</t>
  </si>
  <si>
    <t>יצחקוב</t>
  </si>
  <si>
    <t>אדר</t>
  </si>
  <si>
    <t>לוי</t>
  </si>
  <si>
    <t>נויה</t>
  </si>
  <si>
    <t>סעאדה</t>
  </si>
  <si>
    <t>ג`נל</t>
  </si>
  <si>
    <t>פאר</t>
  </si>
  <si>
    <t>אליאן</t>
  </si>
  <si>
    <t>פוג`יטה כהן</t>
  </si>
  <si>
    <t>לילי</t>
  </si>
  <si>
    <t>צירקידזה</t>
  </si>
  <si>
    <t>אנדריה דורון</t>
  </si>
  <si>
    <t>רחמין</t>
  </si>
  <si>
    <t>עמית</t>
  </si>
  <si>
    <t>יהונתן</t>
  </si>
  <si>
    <t>שמשילשווילי</t>
  </si>
  <si>
    <t>מיכאל</t>
  </si>
  <si>
    <t>שכבת ח' – הקבצה א' – מורה: טל נחמיה</t>
  </si>
  <si>
    <t>שם טוב</t>
  </si>
  <si>
    <t>ח' א'</t>
  </si>
  <si>
    <t>עובדיה</t>
  </si>
  <si>
    <t>אופיר</t>
  </si>
  <si>
    <t>ארגאו</t>
  </si>
  <si>
    <t>אלירן</t>
  </si>
  <si>
    <t>בן דוד</t>
  </si>
  <si>
    <t>חנניה</t>
  </si>
  <si>
    <t>מילאן</t>
  </si>
  <si>
    <t>אורי</t>
  </si>
  <si>
    <t>אמין זדה</t>
  </si>
  <si>
    <t>קרטבלשווילי</t>
  </si>
  <si>
    <t>ווזה</t>
  </si>
  <si>
    <t>פוסטרלוב</t>
  </si>
  <si>
    <t>יפת</t>
  </si>
  <si>
    <t>צ’קול</t>
  </si>
  <si>
    <t>קלקידן</t>
  </si>
  <si>
    <t>חיים כהן</t>
  </si>
  <si>
    <t>עבו</t>
  </si>
  <si>
    <t>זקין</t>
  </si>
  <si>
    <t>אתגר</t>
  </si>
  <si>
    <t>ראובני</t>
  </si>
  <si>
    <t>יובל</t>
  </si>
  <si>
    <t>אבוקסיס</t>
  </si>
  <si>
    <t>נוי</t>
  </si>
  <si>
    <t>מעלומי</t>
  </si>
  <si>
    <t>עמר</t>
  </si>
  <si>
    <t>יזראלוב</t>
  </si>
  <si>
    <t>מישל</t>
  </si>
  <si>
    <t>שרביט</t>
  </si>
  <si>
    <t>סולומון</t>
  </si>
  <si>
    <t>רומי</t>
  </si>
  <si>
    <t>יוסף</t>
  </si>
  <si>
    <t>ח' 2 א'</t>
  </si>
  <si>
    <t>שכבת ח' – הקבצה א1 – מורה: יניב רז</t>
  </si>
  <si>
    <t>אודשורן</t>
  </si>
  <si>
    <t>אלרום</t>
  </si>
  <si>
    <t>ח' 3</t>
  </si>
  <si>
    <t>אוחיון אדל</t>
  </si>
  <si>
    <t>רות</t>
  </si>
  <si>
    <t>אפק</t>
  </si>
  <si>
    <t>בטלר</t>
  </si>
  <si>
    <t>היליי</t>
  </si>
  <si>
    <t>בן-מגן</t>
  </si>
  <si>
    <t>ח' 4</t>
  </si>
  <si>
    <t>ברהום</t>
  </si>
  <si>
    <t>מתן</t>
  </si>
  <si>
    <t>דוד דביר</t>
  </si>
  <si>
    <t>נתן</t>
  </si>
  <si>
    <t>דרעי עידו</t>
  </si>
  <si>
    <t>אוריאל</t>
  </si>
  <si>
    <t>הולמן רייך</t>
  </si>
  <si>
    <t>ג`וזפין</t>
  </si>
  <si>
    <t>יובו</t>
  </si>
  <si>
    <t>אלדר</t>
  </si>
  <si>
    <t>כהנא</t>
  </si>
  <si>
    <t>מוכאר זאדה</t>
  </si>
  <si>
    <t>ליאם</t>
  </si>
  <si>
    <t>שמעיה</t>
  </si>
  <si>
    <t>אילאי</t>
  </si>
  <si>
    <t>שכבת ח' – הקבצה א'1 – מורה: רונית פואל</t>
  </si>
  <si>
    <t>איזוגרפוב</t>
  </si>
  <si>
    <t>איסק</t>
  </si>
  <si>
    <t>ח' א1</t>
  </si>
  <si>
    <t>אלנה</t>
  </si>
  <si>
    <t>אדום</t>
  </si>
  <si>
    <t>בן כליפה</t>
  </si>
  <si>
    <t>חמו</t>
  </si>
  <si>
    <t>עדיאל עליזה</t>
  </si>
  <si>
    <t>ליס</t>
  </si>
  <si>
    <t>שני</t>
  </si>
  <si>
    <t>נאותי</t>
  </si>
  <si>
    <t>אורי משה</t>
  </si>
  <si>
    <t>נדיב</t>
  </si>
  <si>
    <t>שי אלי</t>
  </si>
  <si>
    <t>נחמיה</t>
  </si>
  <si>
    <t>אורין</t>
  </si>
  <si>
    <t>שמואל</t>
  </si>
  <si>
    <t>הראל משה</t>
  </si>
  <si>
    <t>שכבת ח' – הקבצה ח2 (מקדמת) – מורה: רונית פואל</t>
  </si>
  <si>
    <t>אברג`ל קורן</t>
  </si>
  <si>
    <t>זהר</t>
  </si>
  <si>
    <t>ח' 2</t>
  </si>
  <si>
    <t>דרייצל</t>
  </si>
  <si>
    <t>מזור</t>
  </si>
  <si>
    <t>מטייב</t>
  </si>
  <si>
    <t>עוזר</t>
  </si>
  <si>
    <t>שאולי</t>
  </si>
  <si>
    <t>עדן</t>
  </si>
  <si>
    <t>שכבת ח' – הקבצה ח2 (מקדמת) – מורה: טל נחמיה</t>
  </si>
  <si>
    <t>דה סילבה דניאל</t>
  </si>
  <si>
    <t>כהן בן-דוד</t>
  </si>
  <si>
    <t>סטי מזרחי שון</t>
  </si>
  <si>
    <t>קלימיאן</t>
  </si>
  <si>
    <t>אביאל</t>
  </si>
  <si>
    <t>שרביט אליאב</t>
  </si>
  <si>
    <t>אהרן</t>
  </si>
  <si>
    <t>שכבת ט' – הקבצה ט1 (מדעית) – מורה: יניב רז</t>
  </si>
  <si>
    <t>אהרונוב</t>
  </si>
  <si>
    <t>ט' 1</t>
  </si>
  <si>
    <t>איבגי</t>
  </si>
  <si>
    <t>הראל</t>
  </si>
  <si>
    <t>אליהו</t>
  </si>
  <si>
    <t>אמזלג</t>
  </si>
  <si>
    <t>שילת</t>
  </si>
  <si>
    <t>אסלן</t>
  </si>
  <si>
    <t>אור</t>
  </si>
  <si>
    <t>בלקר</t>
  </si>
  <si>
    <t>בראל</t>
  </si>
  <si>
    <t>וולקוף</t>
  </si>
  <si>
    <t>חזנוב</t>
  </si>
  <si>
    <t>זיו</t>
  </si>
  <si>
    <t>לבן</t>
  </si>
  <si>
    <t>לינוי</t>
  </si>
  <si>
    <t>עידן</t>
  </si>
  <si>
    <t>מנשה</t>
  </si>
  <si>
    <t>לירז</t>
  </si>
  <si>
    <t>מרטיניוק</t>
  </si>
  <si>
    <t>נועם איוון</t>
  </si>
  <si>
    <t>מריומה</t>
  </si>
  <si>
    <t>תמר</t>
  </si>
  <si>
    <t>נורי</t>
  </si>
  <si>
    <t>אביתר אברהם</t>
  </si>
  <si>
    <t>נרגסי</t>
  </si>
  <si>
    <t>פרלשטיין</t>
  </si>
  <si>
    <t>רותם</t>
  </si>
  <si>
    <t>צורדקר</t>
  </si>
  <si>
    <t>שקד</t>
  </si>
  <si>
    <t>צרפי</t>
  </si>
  <si>
    <t>שירה</t>
  </si>
  <si>
    <t>צרפתי</t>
  </si>
  <si>
    <t>הדר</t>
  </si>
  <si>
    <t>רודובסקי</t>
  </si>
  <si>
    <t>רייטר</t>
  </si>
  <si>
    <t>אורי ישראל</t>
  </si>
  <si>
    <t>נתנאל דוד מו</t>
  </si>
  <si>
    <t>תירוש</t>
  </si>
  <si>
    <t>עוז</t>
  </si>
  <si>
    <t>שכבת ט' – הקבצה א' – מורה: סוניה רפאלי</t>
  </si>
  <si>
    <t>בן סעדון</t>
  </si>
  <si>
    <t>יאיר</t>
  </si>
  <si>
    <t>ט' א'</t>
  </si>
  <si>
    <t>דגפו</t>
  </si>
  <si>
    <t>יואל</t>
  </si>
  <si>
    <t>וובה</t>
  </si>
  <si>
    <t>הלי</t>
  </si>
  <si>
    <t>זדה</t>
  </si>
  <si>
    <t>סלין מור</t>
  </si>
  <si>
    <t>לירז מיכאל</t>
  </si>
  <si>
    <t>הדס</t>
  </si>
  <si>
    <t>ליסרמן</t>
  </si>
  <si>
    <t>נג'מיאן</t>
  </si>
  <si>
    <t>ליבי</t>
  </si>
  <si>
    <t>דואק</t>
  </si>
  <si>
    <t>ליאור חי</t>
  </si>
  <si>
    <t>זקן</t>
  </si>
  <si>
    <t>יעקובי</t>
  </si>
  <si>
    <t>כצמן</t>
  </si>
  <si>
    <t>אדליה</t>
  </si>
  <si>
    <t>שיר רעיה</t>
  </si>
  <si>
    <t>פונטיה</t>
  </si>
  <si>
    <t>תאיר</t>
  </si>
  <si>
    <t>פרג</t>
  </si>
  <si>
    <t>קזיניץ</t>
  </si>
  <si>
    <t>קנדלקאר</t>
  </si>
  <si>
    <t>שחר</t>
  </si>
  <si>
    <t>שימנסקי</t>
  </si>
  <si>
    <t>שרעבי</t>
  </si>
  <si>
    <t>אביב</t>
  </si>
  <si>
    <t>שכבת ט' – הקבצה א1 – מורה: טל נחמיה</t>
  </si>
  <si>
    <t>בוסי שרעבי</t>
  </si>
  <si>
    <t>אוראל</t>
  </si>
  <si>
    <t>ט' 4</t>
  </si>
  <si>
    <t>ט' 5</t>
  </si>
  <si>
    <t>זכרי</t>
  </si>
  <si>
    <t>מאיה מרים</t>
  </si>
  <si>
    <t>מבורך לוי</t>
  </si>
  <si>
    <t>גל</t>
  </si>
  <si>
    <t>רן</t>
  </si>
  <si>
    <t>מונסונגו</t>
  </si>
  <si>
    <t>עדי נעמי</t>
  </si>
  <si>
    <t>סיידיאן</t>
  </si>
  <si>
    <t>אמיתי</t>
  </si>
  <si>
    <t>סיני</t>
  </si>
  <si>
    <t>סמרה</t>
  </si>
  <si>
    <t>עבדן</t>
  </si>
  <si>
    <t>פרטוק</t>
  </si>
  <si>
    <t>אילאי נאור</t>
  </si>
  <si>
    <t>צדוק</t>
  </si>
  <si>
    <t>שירה אושרת</t>
  </si>
  <si>
    <t>קוסטנקו</t>
  </si>
  <si>
    <t>שבתאי</t>
  </si>
  <si>
    <t>שהם</t>
  </si>
  <si>
    <t>שמחון</t>
  </si>
  <si>
    <t>אימבר</t>
  </si>
  <si>
    <t>שמסיאן</t>
  </si>
  <si>
    <t>ערן</t>
  </si>
  <si>
    <t>שפיר</t>
  </si>
  <si>
    <t>טוהר</t>
  </si>
  <si>
    <t>שכבת ט' – הקבצה א1 – מורה: נורית מויאל</t>
  </si>
  <si>
    <t>אברמוב</t>
  </si>
  <si>
    <t>ט' 3</t>
  </si>
  <si>
    <t>אוחיון</t>
  </si>
  <si>
    <t>עדיאל</t>
  </si>
  <si>
    <t>ארוך</t>
  </si>
  <si>
    <t>בן חמו</t>
  </si>
  <si>
    <t>גדמו</t>
  </si>
  <si>
    <t>חיים</t>
  </si>
  <si>
    <t>דילאו</t>
  </si>
  <si>
    <t>דניאלי</t>
  </si>
  <si>
    <t>ווסה</t>
  </si>
  <si>
    <t>לי שי יעקב</t>
  </si>
  <si>
    <t>נהוראי מאיר</t>
  </si>
  <si>
    <t>ימין</t>
  </si>
  <si>
    <t>לורין</t>
  </si>
  <si>
    <t>מיסטריאל</t>
  </si>
  <si>
    <t>ניגרקר</t>
  </si>
  <si>
    <t>קיוויתי</t>
  </si>
  <si>
    <t>קיליגין</t>
  </si>
  <si>
    <t>מקסים</t>
  </si>
  <si>
    <t>קנבסקי</t>
  </si>
  <si>
    <t>סוניה</t>
  </si>
  <si>
    <t>שפעים</t>
  </si>
  <si>
    <t>אריאל יוסף</t>
  </si>
  <si>
    <t>שכבת ט' – הקבצה ט2 (מקדמת) – מורה: מירית אפריים</t>
  </si>
  <si>
    <t>ט' 2</t>
  </si>
  <si>
    <t>אדיר</t>
  </si>
  <si>
    <t>בן עזרא</t>
  </si>
  <si>
    <t>סהר</t>
  </si>
  <si>
    <t>דהאן</t>
  </si>
  <si>
    <t>שקד רפאל</t>
  </si>
  <si>
    <t>ונטורה</t>
  </si>
  <si>
    <t>הילה</t>
  </si>
  <si>
    <t>טל</t>
  </si>
  <si>
    <t>נוגה</t>
  </si>
  <si>
    <t>מלסה</t>
  </si>
  <si>
    <t>נדלר</t>
  </si>
  <si>
    <t>נירן</t>
  </si>
  <si>
    <t>רוגוב</t>
  </si>
  <si>
    <t>אדוארד</t>
  </si>
  <si>
    <t>שם בי"ס</t>
  </si>
  <si>
    <t>עירוני פסגת זאב(תיכון טדי קולק)</t>
  </si>
  <si>
    <t>לימודי</t>
  </si>
  <si>
    <t>סמל מוסד</t>
  </si>
  <si>
    <t>86%-100%</t>
  </si>
  <si>
    <t>70%-85%</t>
  </si>
  <si>
    <t>50%-69%</t>
  </si>
  <si>
    <t>0%-49%</t>
  </si>
  <si>
    <t>מקראה</t>
  </si>
  <si>
    <t>פרטי כיתה</t>
  </si>
  <si>
    <t>מתמטיקה</t>
  </si>
  <si>
    <t>הקבצה ג</t>
  </si>
  <si>
    <t>הקבצה ב</t>
  </si>
  <si>
    <t>הקבצה א</t>
  </si>
  <si>
    <t>סה"כ תלמידים</t>
  </si>
  <si>
    <t>סוג כיתה</t>
  </si>
  <si>
    <t>תת משיגים</t>
  </si>
  <si>
    <t>בינוני - בינוני נמוך</t>
  </si>
  <si>
    <t>ברמה המצופה</t>
  </si>
  <si>
    <t>מעל הרמה המצופה</t>
  </si>
  <si>
    <t>שכבה ז</t>
  </si>
  <si>
    <t>שכבה ח</t>
  </si>
  <si>
    <t>שכבה ט</t>
  </si>
  <si>
    <t>חנ"מ ז</t>
  </si>
  <si>
    <t>חנ"מ ח</t>
  </si>
  <si>
    <t>חנ"מ 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</si>
</sst>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sz val="13.2"/>
      <color rgb="FFFFFFFF"/>
      <name val="Aptos Narrow"/>
      <family val="2"/>
      <scheme val="minor"/>
    </font>
    <font>
      <b/>
      <sz val="11"/>
      <color rgb="FF0B3D91"/>
      <name val="Aptos Narrow"/>
      <family val="2"/>
      <scheme val="minor"/>
    </font>
    <font>
      <b/>
      <sz val="12.65"/>
      <color rgb="FFFFFFFF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B3D91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3D2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8" fillId="8" borderId="5" xfId="0" applyFont="1" applyFill="1" applyBorder="1" applyAlignment="1">
      <alignment wrapText="1" readingOrder="2"/>
    </xf>
    <xf numFmtId="0" fontId="6" fillId="3" borderId="6" xfId="0" applyFont="1" applyFill="1" applyBorder="1" applyAlignment="1">
      <alignment horizontal="center" vertical="center" wrapText="1" readingOrder="2"/>
    </xf>
    <xf numFmtId="0" fontId="8" fillId="9" borderId="8" xfId="0" applyFont="1" applyFill="1" applyBorder="1" applyAlignment="1">
      <alignment vertical="center" wrapText="1" readingOrder="2"/>
    </xf>
    <xf numFmtId="0" fontId="8" fillId="0" borderId="9" xfId="0" applyFont="1" applyBorder="1" applyAlignment="1">
      <alignment wrapText="1" readingOrder="2"/>
    </xf>
    <xf numFmtId="0" fontId="8" fillId="0" borderId="5" xfId="0" applyFont="1" applyBorder="1" applyAlignment="1">
      <alignment wrapText="1" readingOrder="2"/>
    </xf>
    <xf numFmtId="0" fontId="9" fillId="16" borderId="6" xfId="0" applyFont="1" applyFill="1" applyBorder="1" applyAlignment="1">
      <alignment horizontal="center" vertical="center" wrapText="1" readingOrder="2"/>
    </xf>
    <xf numFmtId="0" fontId="9" fillId="16" borderId="8" xfId="0" applyFont="1" applyFill="1" applyBorder="1" applyAlignment="1">
      <alignment horizontal="center" vertical="center" wrapText="1" readingOrder="2"/>
    </xf>
    <xf numFmtId="0" fontId="11" fillId="13" borderId="8" xfId="0" applyFont="1" applyFill="1" applyBorder="1" applyAlignment="1">
      <alignment horizontal="center" vertical="center" wrapText="1" readingOrder="2"/>
    </xf>
    <xf numFmtId="0" fontId="11" fillId="12" borderId="8" xfId="0" applyFont="1" applyFill="1" applyBorder="1" applyAlignment="1">
      <alignment horizontal="center" vertical="center" wrapText="1" readingOrder="2"/>
    </xf>
    <xf numFmtId="0" fontId="11" fillId="11" borderId="7" xfId="0" applyFont="1" applyFill="1" applyBorder="1" applyAlignment="1">
      <alignment horizontal="center" vertical="center" wrapText="1" readingOrder="2"/>
    </xf>
    <xf numFmtId="0" fontId="11" fillId="10" borderId="8" xfId="0" applyFont="1" applyFill="1" applyBorder="1" applyAlignment="1">
      <alignment horizontal="center" vertical="center" wrapText="1" readingOrder="2"/>
    </xf>
    <xf numFmtId="0" fontId="10" fillId="16" borderId="8" xfId="0" applyFont="1" applyFill="1" applyBorder="1" applyAlignment="1">
      <alignment horizontal="center" vertical="center" wrapText="1" readingOrder="2"/>
    </xf>
    <xf numFmtId="0" fontId="8" fillId="16" borderId="8" xfId="0" applyFont="1" applyFill="1" applyBorder="1" applyAlignment="1">
      <alignment vertical="center" wrapText="1" readingOrder="2"/>
    </xf>
    <xf numFmtId="0" fontId="8" fillId="0" borderId="8" xfId="0" applyFont="1" applyBorder="1" applyAlignment="1">
      <alignment vertical="center" wrapText="1" readingOrder="2"/>
    </xf>
    <xf numFmtId="0" fontId="8" fillId="8" borderId="8" xfId="0" applyFont="1" applyFill="1" applyBorder="1" applyAlignment="1">
      <alignment vertical="center" wrapText="1" readingOrder="2"/>
    </xf>
    <xf numFmtId="0" fontId="12" fillId="0" borderId="5" xfId="0" applyFont="1" applyBorder="1" applyAlignment="1">
      <alignment horizontal="center" wrapText="1" readingOrder="2"/>
    </xf>
    <xf numFmtId="0" fontId="8" fillId="17" borderId="6" xfId="0" applyFont="1" applyFill="1" applyBorder="1" applyAlignment="1">
      <alignment vertical="center" wrapText="1" readingOrder="2"/>
    </xf>
    <xf numFmtId="0" fontId="8" fillId="17" borderId="8" xfId="0" applyFont="1" applyFill="1" applyBorder="1" applyAlignment="1">
      <alignment vertical="center" wrapText="1" readingOrder="2"/>
    </xf>
    <xf numFmtId="9" fontId="13" fillId="17" borderId="8" xfId="0" applyNumberFormat="1" applyFont="1" applyFill="1" applyBorder="1" applyAlignment="1">
      <alignment horizontal="center" vertical="center" wrapText="1" readingOrder="2"/>
    </xf>
    <xf numFmtId="0" fontId="8" fillId="0" borderId="8" xfId="0" applyFont="1" applyBorder="1" applyAlignment="1">
      <alignment wrapText="1" readingOrder="2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 readingOrder="2"/>
    </xf>
    <xf numFmtId="0" fontId="0" fillId="0" borderId="18" xfId="0" applyBorder="1"/>
    <xf numFmtId="0" fontId="0" fillId="0" borderId="12" xfId="0" applyBorder="1"/>
    <xf numFmtId="0" fontId="9" fillId="14" borderId="24" xfId="0" applyFont="1" applyFill="1" applyBorder="1" applyAlignment="1">
      <alignment horizontal="center" vertical="center" wrapText="1" readingOrder="2"/>
    </xf>
    <xf numFmtId="0" fontId="0" fillId="0" borderId="14" xfId="0" applyBorder="1"/>
    <xf numFmtId="0" fontId="6" fillId="3" borderId="19" xfId="0" applyFont="1" applyFill="1" applyBorder="1" applyAlignment="1">
      <alignment horizontal="center" wrapText="1" readingOrder="2"/>
    </xf>
    <xf numFmtId="0" fontId="7" fillId="7" borderId="22" xfId="0" applyFont="1" applyFill="1" applyBorder="1" applyAlignment="1">
      <alignment horizontal="center" vertical="center" wrapText="1" readingOrder="2"/>
    </xf>
    <xf numFmtId="0" fontId="0" fillId="0" borderId="3" xfId="0" applyBorder="1"/>
    <xf numFmtId="0" fontId="0" fillId="0" borderId="4" xfId="0" applyBorder="1"/>
    <xf numFmtId="0" fontId="9" fillId="11" borderId="23" xfId="0" applyFont="1" applyFill="1" applyBorder="1" applyAlignment="1">
      <alignment horizontal="center" vertical="center" wrapText="1" readingOrder="2"/>
    </xf>
    <xf numFmtId="0" fontId="0" fillId="0" borderId="13" xfId="0" applyBorder="1"/>
    <xf numFmtId="0" fontId="9" fillId="10" borderId="23" xfId="0" applyFont="1" applyFill="1" applyBorder="1" applyAlignment="1">
      <alignment horizontal="center" vertical="center" wrapText="1" readingOrder="2"/>
    </xf>
    <xf numFmtId="0" fontId="9" fillId="13" borderId="23" xfId="0" applyFont="1" applyFill="1" applyBorder="1" applyAlignment="1">
      <alignment horizontal="center" vertical="center" wrapText="1" readingOrder="2"/>
    </xf>
    <xf numFmtId="0" fontId="9" fillId="12" borderId="23" xfId="0" applyFont="1" applyFill="1" applyBorder="1" applyAlignment="1">
      <alignment horizontal="center" vertical="center" wrapText="1" readingOrder="2"/>
    </xf>
    <xf numFmtId="0" fontId="7" fillId="15" borderId="20" xfId="0" applyFont="1" applyFill="1" applyBorder="1" applyAlignment="1">
      <alignment horizontal="center" vertical="center" wrapText="1" readingOrder="2"/>
    </xf>
    <xf numFmtId="0" fontId="0" fillId="0" borderId="2" xfId="0" applyBorder="1"/>
    <xf numFmtId="0" fontId="10" fillId="7" borderId="19" xfId="0" applyFont="1" applyFill="1" applyBorder="1" applyAlignment="1">
      <alignment horizontal="center" vertical="center" wrapText="1" readingOrder="2"/>
    </xf>
    <xf numFmtId="0" fontId="0" fillId="0" borderId="15" xfId="0" applyBorder="1"/>
    <xf numFmtId="0" fontId="0" fillId="0" borderId="16" xfId="0" applyBorder="1"/>
    <xf numFmtId="0" fontId="0" fillId="0" borderId="10" xfId="0" applyBorder="1"/>
    <xf numFmtId="0" fontId="0" fillId="0" borderId="11" xfId="0" applyBorder="1"/>
    <xf numFmtId="0" fontId="0" fillId="0" borderId="17" xfId="0" applyBorder="1"/>
    <xf numFmtId="0" fontId="6" fillId="3" borderId="21" xfId="0" applyFont="1" applyFill="1" applyBorder="1" applyAlignment="1">
      <alignment horizontal="center" wrapText="1" readingOrder="2"/>
    </xf>
  </cellXfs>
  <cellStyles count="1">
    <cellStyle name="Normal" xfId="0" builtinId="0"/>
  </cellStyles>
  <dxfs count="224"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1F4E79"/>
      </font>
      <alignment horizontal="center" vertical="center"/>
    </dxf>
    <dxf>
      <alignment horizontal="center" vertical="center"/>
    </dxf>
    <dxf>
      <font>
        <b/>
        <color rgb="FFFFFFFF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1F4E79"/>
      </font>
      <alignment horizontal="center" vertical="center"/>
    </dxf>
    <dxf>
      <alignment horizontal="center" vertical="center"/>
    </dxf>
    <dxf>
      <font>
        <b/>
        <color rgb="FFFFFFFF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1F4E79"/>
      </font>
      <alignment horizontal="center" vertical="center"/>
    </dxf>
    <dxf>
      <alignment horizontal="center" vertical="center"/>
    </dxf>
    <dxf>
      <font>
        <b/>
        <color rgb="FFFFFFFF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b/>
        <color rgb="FF0B3D91"/>
        <family val="2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b/>
        <color rgb="FF0B3D91"/>
        <family val="2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b/>
        <color rgb="FF0B3D91"/>
        <family val="2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1F4E79"/>
      </font>
      <alignment horizontal="center" vertical="center"/>
    </dxf>
    <dxf>
      <alignment horizontal="center" vertical="center"/>
    </dxf>
    <dxf>
      <font>
        <b/>
        <color rgb="FFFFFFFF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B3D91"/>
        <name val="Arial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Arial"/>
        <family val="2"/>
        <scheme val="minor"/>
      </font>
      <alignment horizontal="center" vertical="center"/>
    </dxf>
    <dxf>
      <font>
        <b/>
        <color rgb="FF0B3D91"/>
        <family val="2"/>
      </font>
      <fill>
        <patternFill patternType="solid">
          <fgColor indexed="64"/>
          <bgColor rgb="FFDDEBF7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.65"/>
        <color rgb="FFFFFFFF"/>
        <name val="Arial"/>
        <family val="2"/>
        <scheme val="minor"/>
      </font>
      <alignment horizontal="center"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___1______" displayName="Tbl____1______" ref="A2:J38" totalsRowCount="1" headerRowDxfId="223" dataDxfId="222" totalsRowDxfId="221">
  <autoFilter ref="A2:J37" xr:uid="{00000000-0009-0000-0100-000001000000}"/>
  <tableColumns count="10">
    <tableColumn id="1" xr3:uid="{00000000-0010-0000-0000-000001000000}" name=" " dataDxfId="220" totalsRowDxfId="219"/>
    <tableColumn id="2" xr3:uid="{00000000-0010-0000-0000-000002000000}" name="שם משפחה" dataDxfId="218" totalsRowDxfId="217"/>
    <tableColumn id="3" xr3:uid="{00000000-0010-0000-0000-000003000000}" name="שם פרטי" dataDxfId="216" totalsRowDxfId="215"/>
    <tableColumn id="4" xr3:uid="{00000000-0010-0000-0000-000004000000}" name="כיתה" dataDxfId="214" totalsRowDxfId="213"/>
    <tableColumn id="5" xr3:uid="{00000000-0010-0000-0000-000005000000}" name="הערכה 1" totalsRowFunction="custom" dataDxfId="212" totalsRowDxfId="211">
      <totalsRowFormula>AVERAGE(E3:E37)</totalsRowFormula>
    </tableColumn>
    <tableColumn id="6" xr3:uid="{00000000-0010-0000-0000-000006000000}" name="הערכה 2" totalsRowFunction="custom" dataDxfId="210" totalsRowDxfId="209">
      <totalsRowFormula>AVERAGE(F3:F37)</totalsRowFormula>
    </tableColumn>
    <tableColumn id="7" xr3:uid="{00000000-0010-0000-0000-000007000000}" name="הערכה 3" totalsRowFunction="custom" dataDxfId="208" totalsRowDxfId="207">
      <totalsRowFormula>AVERAGE(G3:G37)</totalsRowFormula>
    </tableColumn>
    <tableColumn id="8" xr3:uid="{00000000-0010-0000-0000-000008000000}" name="הערכה 4" totalsRowFunction="custom" dataDxfId="206" totalsRowDxfId="205">
      <totalsRowFormula>AVERAGE(H3:H37)</totalsRowFormula>
    </tableColumn>
    <tableColumn id="9" xr3:uid="{00000000-0010-0000-0000-000009000000}" name="הערכה 5" totalsRowFunction="custom" dataDxfId="204" totalsRowDxfId="203">
      <totalsRowFormula>AVERAGE(I3:I37)</totalsRowFormula>
    </tableColumn>
    <tableColumn id="11" xr3:uid="{00000000-0010-0000-0000-00000B000000}" name="הערות" dataDxfId="202" totalsRowDxfId="2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טבלה13" displayName="טבלה13" ref="A2:J37" totalsRowShown="0" headerRowDxfId="200" dataDxfId="199">
  <autoFilter ref="A2:J37" xr:uid="{00000000-0009-0000-0100-000002000000}"/>
  <tableColumns count="10">
    <tableColumn id="1" xr3:uid="{00000000-0010-0000-0100-000001000000}" name=" " dataDxfId="198"/>
    <tableColumn id="2" xr3:uid="{00000000-0010-0000-0100-000002000000}" name="שם משפחה" dataDxfId="197"/>
    <tableColumn id="3" xr3:uid="{00000000-0010-0000-0100-000003000000}" name="שם פרטי" dataDxfId="196"/>
    <tableColumn id="4" xr3:uid="{00000000-0010-0000-0100-000004000000}" name="כיתה" dataDxfId="195"/>
    <tableColumn id="5" xr3:uid="{00000000-0010-0000-0100-000005000000}" name="הערכה 1" dataDxfId="194"/>
    <tableColumn id="6" xr3:uid="{00000000-0010-0000-0100-000006000000}" name="הערכה 2" dataDxfId="193"/>
    <tableColumn id="7" xr3:uid="{00000000-0010-0000-0100-000007000000}" name="הערכה 3" dataDxfId="192"/>
    <tableColumn id="8" xr3:uid="{00000000-0010-0000-0100-000008000000}" name="הערכה 4" dataDxfId="191"/>
    <tableColumn id="9" xr3:uid="{00000000-0010-0000-0100-000009000000}" name="הערכה 5" dataDxfId="190"/>
    <tableColumn id="11" xr3:uid="{00000000-0010-0000-0100-00000B000000}" name="הערות" dataDxfId="1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____1" displayName="Tbl_____1" ref="A2:J38" totalsRowCount="1" headerRowDxfId="188" dataDxfId="187" totalsRowDxfId="186">
  <autoFilter ref="A2:J37" xr:uid="{00000000-0009-0000-0100-000003000000}"/>
  <tableColumns count="10">
    <tableColumn id="1" xr3:uid="{00000000-0010-0000-0200-000001000000}" name=" " dataDxfId="185" totalsRowDxfId="184"/>
    <tableColumn id="2" xr3:uid="{00000000-0010-0000-0200-000002000000}" name="שם משפחה" dataDxfId="183" totalsRowDxfId="182"/>
    <tableColumn id="3" xr3:uid="{00000000-0010-0000-0200-000003000000}" name="שם פרטי" dataDxfId="181" totalsRowDxfId="180"/>
    <tableColumn id="4" xr3:uid="{00000000-0010-0000-0200-000004000000}" name="כיתה" dataDxfId="179" totalsRowDxfId="178"/>
    <tableColumn id="5" xr3:uid="{00000000-0010-0000-0200-000005000000}" name="הערכה 1" totalsRowFunction="custom" dataDxfId="177" totalsRowDxfId="176">
      <totalsRowFormula>AVERAGE(E3:E37)</totalsRowFormula>
    </tableColumn>
    <tableColumn id="6" xr3:uid="{00000000-0010-0000-0200-000006000000}" name="הערכה 2" totalsRowFunction="custom" dataDxfId="175" totalsRowDxfId="174">
      <totalsRowFormula>AVERAGE(F3:F37)</totalsRowFormula>
    </tableColumn>
    <tableColumn id="7" xr3:uid="{00000000-0010-0000-0200-000007000000}" name="הערכה 3" totalsRowFunction="custom" dataDxfId="173" totalsRowDxfId="172">
      <totalsRowFormula>AVERAGE(G3:G37)</totalsRowFormula>
    </tableColumn>
    <tableColumn id="8" xr3:uid="{00000000-0010-0000-0200-000008000000}" name="הערכה 4" totalsRowFunction="custom" dataDxfId="171" totalsRowDxfId="170">
      <totalsRowFormula>AVERAGE(H3:H37)</totalsRowFormula>
    </tableColumn>
    <tableColumn id="9" xr3:uid="{00000000-0010-0000-0200-000009000000}" name="הערכה 5" totalsRowFunction="custom" dataDxfId="169" totalsRowDxfId="168">
      <totalsRowFormula>AVERAGE(I3:I37)</totalsRowFormula>
    </tableColumn>
    <tableColumn id="11" xr3:uid="{00000000-0010-0000-0200-00000B000000}" name="הערות" dataDxfId="167" totalsRowDxfId="1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___2______" displayName="Tbl____2______" ref="A2:J38" totalsRowCount="1" headerRowDxfId="165" dataDxfId="164" totalsRowDxfId="163">
  <autoFilter ref="A2:J37" xr:uid="{00000000-0009-0000-0100-000004000000}"/>
  <tableColumns count="10">
    <tableColumn id="1" xr3:uid="{00000000-0010-0000-0300-000001000000}" name=" " dataDxfId="162" totalsRowDxfId="161"/>
    <tableColumn id="2" xr3:uid="{00000000-0010-0000-0300-000002000000}" name="שם משפחה" dataDxfId="160" totalsRowDxfId="159"/>
    <tableColumn id="3" xr3:uid="{00000000-0010-0000-0300-000003000000}" name="שם פרטי" dataDxfId="158" totalsRowDxfId="157"/>
    <tableColumn id="4" xr3:uid="{00000000-0010-0000-0300-000004000000}" name="כיתה" dataDxfId="156" totalsRowDxfId="155"/>
    <tableColumn id="5" xr3:uid="{00000000-0010-0000-0300-000005000000}" name="הערכה 1" totalsRowFunction="custom" dataDxfId="154" totalsRowDxfId="153">
      <totalsRowFormula>AVERAGE(E3:E37)</totalsRowFormula>
    </tableColumn>
    <tableColumn id="6" xr3:uid="{00000000-0010-0000-0300-000006000000}" name="הערכה 2" totalsRowFunction="custom" dataDxfId="152" totalsRowDxfId="151">
      <totalsRowFormula>AVERAGE(F3:F37)</totalsRowFormula>
    </tableColumn>
    <tableColumn id="7" xr3:uid="{00000000-0010-0000-0300-000007000000}" name="הערכה 3" totalsRowFunction="custom" dataDxfId="150" totalsRowDxfId="149">
      <totalsRowFormula>AVERAGE(G3:G37)</totalsRowFormula>
    </tableColumn>
    <tableColumn id="8" xr3:uid="{00000000-0010-0000-0300-000008000000}" name="הערכה 4" totalsRowFunction="custom" dataDxfId="148" totalsRowDxfId="147">
      <totalsRowFormula>AVERAGE(H3:H37)</totalsRowFormula>
    </tableColumn>
    <tableColumn id="9" xr3:uid="{00000000-0010-0000-0300-000009000000}" name="הערכה 5" totalsRowFunction="custom" dataDxfId="146" totalsRowDxfId="145">
      <totalsRowFormula>AVERAGE(I3:I37)</totalsRowFormula>
    </tableColumn>
    <tableColumn id="11" xr3:uid="{00000000-0010-0000-0300-00000B000000}" name="הערות" dataDxfId="144" totalsRowDxfId="1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טבלה6" displayName="טבלה6" ref="A2:J37" totalsRowShown="0" headerRowDxfId="142" dataDxfId="141">
  <autoFilter ref="A2:J37" xr:uid="{00000000-0009-0000-0100-000005000000}"/>
  <tableColumns count="10">
    <tableColumn id="1" xr3:uid="{00000000-0010-0000-0400-000001000000}" name=" " dataDxfId="140"/>
    <tableColumn id="2" xr3:uid="{00000000-0010-0000-0400-000002000000}" name="שם משפחה" dataDxfId="139"/>
    <tableColumn id="3" xr3:uid="{00000000-0010-0000-0400-000003000000}" name="שם פרטי" dataDxfId="138"/>
    <tableColumn id="4" xr3:uid="{00000000-0010-0000-0400-000004000000}" name="כיתה" dataDxfId="137"/>
    <tableColumn id="5" xr3:uid="{00000000-0010-0000-0400-000005000000}" name="הערכה 1" dataDxfId="136"/>
    <tableColumn id="6" xr3:uid="{00000000-0010-0000-0400-000006000000}" name="הערכה 2" dataDxfId="135"/>
    <tableColumn id="7" xr3:uid="{00000000-0010-0000-0400-000007000000}" name="הערכה 3" dataDxfId="134"/>
    <tableColumn id="8" xr3:uid="{00000000-0010-0000-0400-000008000000}" name="הערכה 4" dataDxfId="133"/>
    <tableColumn id="9" xr3:uid="{00000000-0010-0000-0400-000009000000}" name="הערכה 5" dataDxfId="132"/>
    <tableColumn id="11" xr3:uid="{00000000-0010-0000-0400-00000B000000}" name="הערות" dataDxfId="1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_____" displayName="Tbl______" ref="A2:J38" totalsRowCount="1" headerRowDxfId="130" dataDxfId="129" totalsRowDxfId="128">
  <autoFilter ref="A2:J37" xr:uid="{00000000-0009-0000-0100-000006000000}"/>
  <tableColumns count="10">
    <tableColumn id="1" xr3:uid="{00000000-0010-0000-0500-000001000000}" name=" " dataDxfId="127" totalsRowDxfId="126"/>
    <tableColumn id="2" xr3:uid="{00000000-0010-0000-0500-000002000000}" name="שם משפחה" dataDxfId="125" totalsRowDxfId="124"/>
    <tableColumn id="3" xr3:uid="{00000000-0010-0000-0500-000003000000}" name="שם פרטי" dataDxfId="123" totalsRowDxfId="122"/>
    <tableColumn id="4" xr3:uid="{00000000-0010-0000-0500-000004000000}" name="כיתה" dataDxfId="121" totalsRowDxfId="120"/>
    <tableColumn id="5" xr3:uid="{00000000-0010-0000-0500-000005000000}" name="הערכה 1" totalsRowFunction="custom" dataDxfId="119" totalsRowDxfId="118">
      <totalsRowFormula>AVERAGE(E3:E37)</totalsRowFormula>
    </tableColumn>
    <tableColumn id="6" xr3:uid="{00000000-0010-0000-0500-000006000000}" name="הערכה 2" totalsRowFunction="custom" dataDxfId="117" totalsRowDxfId="116">
      <totalsRowFormula>AVERAGE(F3:F37)</totalsRowFormula>
    </tableColumn>
    <tableColumn id="7" xr3:uid="{00000000-0010-0000-0500-000007000000}" name="הערכה 3" totalsRowFunction="custom" dataDxfId="115" totalsRowDxfId="114">
      <totalsRowFormula>AVERAGE(G3:G37)</totalsRowFormula>
    </tableColumn>
    <tableColumn id="8" xr3:uid="{00000000-0010-0000-0500-000008000000}" name="הערכה 4" totalsRowFunction="custom" dataDxfId="113" totalsRowDxfId="112">
      <totalsRowFormula>AVERAGE(H3:H37)</totalsRowFormula>
    </tableColumn>
    <tableColumn id="9" xr3:uid="{00000000-0010-0000-0500-000009000000}" name="הערכה 5" totalsRowFunction="custom" dataDxfId="111" totalsRowDxfId="110">
      <totalsRowFormula>AVERAGE(I3:I37)</totalsRowFormula>
    </tableColumn>
    <tableColumn id="11" xr3:uid="{00000000-0010-0000-0500-00000B000000}" name="הערות" dataDxfId="109" totalsRowDxfId="10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טבלה7" displayName="טבלה7" ref="A2:J37" totalsRowShown="0" headerRowDxfId="107" dataDxfId="106">
  <autoFilter ref="A2:J37" xr:uid="{00000000-0009-0000-0100-000007000000}"/>
  <tableColumns count="10">
    <tableColumn id="1" xr3:uid="{00000000-0010-0000-0600-000001000000}" name=" " dataDxfId="105"/>
    <tableColumn id="2" xr3:uid="{00000000-0010-0000-0600-000002000000}" name="שם משפחה" dataDxfId="104"/>
    <tableColumn id="3" xr3:uid="{00000000-0010-0000-0600-000003000000}" name="שם פרטי" dataDxfId="103"/>
    <tableColumn id="4" xr3:uid="{00000000-0010-0000-0600-000004000000}" name="כיתה" dataDxfId="102"/>
    <tableColumn id="5" xr3:uid="{00000000-0010-0000-0600-000005000000}" name="הערכה 1" dataDxfId="101"/>
    <tableColumn id="6" xr3:uid="{00000000-0010-0000-0600-000006000000}" name="הערכה 2" dataDxfId="100"/>
    <tableColumn id="7" xr3:uid="{00000000-0010-0000-0600-000007000000}" name="הערכה 3" dataDxfId="99"/>
    <tableColumn id="8" xr3:uid="{00000000-0010-0000-0600-000008000000}" name="הערכה 4" dataDxfId="98"/>
    <tableColumn id="9" xr3:uid="{00000000-0010-0000-0600-000009000000}" name="הערכה 5" dataDxfId="97"/>
    <tableColumn id="11" xr3:uid="{00000000-0010-0000-0600-00000B000000}" name="הערות" dataDxfId="9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טבלה14" displayName="טבלה14" ref="A2:J37" totalsRowShown="0" headerRowDxfId="95" dataDxfId="94">
  <autoFilter ref="A2:J37" xr:uid="{00000000-0009-0000-0100-000008000000}"/>
  <tableColumns count="10">
    <tableColumn id="1" xr3:uid="{00000000-0010-0000-0700-000001000000}" name=" " dataDxfId="93"/>
    <tableColumn id="2" xr3:uid="{00000000-0010-0000-0700-000002000000}" name="שם משפחה" dataDxfId="92"/>
    <tableColumn id="3" xr3:uid="{00000000-0010-0000-0700-000003000000}" name="שם פרטי" dataDxfId="91"/>
    <tableColumn id="4" xr3:uid="{00000000-0010-0000-0700-000004000000}" name="כיתה" dataDxfId="90"/>
    <tableColumn id="5" xr3:uid="{00000000-0010-0000-0700-000005000000}" name="הערכה 1" dataDxfId="89"/>
    <tableColumn id="6" xr3:uid="{00000000-0010-0000-0700-000006000000}" name="הערכה 2" dataDxfId="88"/>
    <tableColumn id="7" xr3:uid="{00000000-0010-0000-0700-000007000000}" name="הערכה 3" dataDxfId="87"/>
    <tableColumn id="8" xr3:uid="{00000000-0010-0000-0700-000008000000}" name="הערכה 4" dataDxfId="86"/>
    <tableColumn id="9" xr3:uid="{00000000-0010-0000-0700-000009000000}" name="הערכה 5" dataDxfId="85"/>
    <tableColumn id="11" xr3:uid="{00000000-0010-0000-0700-00000B000000}" name="הערות" dataDxfId="8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טבלה8" displayName="טבלה8" ref="A2:J37" totalsRowShown="0" headerRowDxfId="83" dataDxfId="82">
  <autoFilter ref="A2:J37" xr:uid="{00000000-0009-0000-0100-000009000000}"/>
  <tableColumns count="10">
    <tableColumn id="1" xr3:uid="{00000000-0010-0000-0800-000001000000}" name=" " dataDxfId="81"/>
    <tableColumn id="2" xr3:uid="{00000000-0010-0000-0800-000002000000}" name="שם משפחה" dataDxfId="80"/>
    <tableColumn id="3" xr3:uid="{00000000-0010-0000-0800-000003000000}" name="שם פרטי" dataDxfId="79"/>
    <tableColumn id="4" xr3:uid="{00000000-0010-0000-0800-000004000000}" name="כיתה" dataDxfId="78"/>
    <tableColumn id="5" xr3:uid="{00000000-0010-0000-0800-000005000000}" name="הערכה 1" dataDxfId="77"/>
    <tableColumn id="6" xr3:uid="{00000000-0010-0000-0800-000006000000}" name="הערכה 2" dataDxfId="76"/>
    <tableColumn id="7" xr3:uid="{00000000-0010-0000-0800-000007000000}" name="הערכה 3" dataDxfId="75"/>
    <tableColumn id="8" xr3:uid="{00000000-0010-0000-0800-000008000000}" name="הערכה 4" dataDxfId="74"/>
    <tableColumn id="9" xr3:uid="{00000000-0010-0000-0800-000009000000}" name="הערכה 5" dataDxfId="73"/>
    <tableColumn id="11" xr3:uid="{00000000-0010-0000-0800-00000B000000}" name="הערות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טבלה15" displayName="טבלה15" ref="A2:J37" totalsRowShown="0" headerRowDxfId="71" dataDxfId="70">
  <autoFilter ref="A2:J37" xr:uid="{00000000-0009-0000-0100-00000A000000}"/>
  <tableColumns count="10">
    <tableColumn id="1" xr3:uid="{00000000-0010-0000-0900-000001000000}" name=" " dataDxfId="69"/>
    <tableColumn id="2" xr3:uid="{00000000-0010-0000-0900-000002000000}" name="שם משפחה" dataDxfId="68"/>
    <tableColumn id="3" xr3:uid="{00000000-0010-0000-0900-000003000000}" name="שם פרטי" dataDxfId="67"/>
    <tableColumn id="4" xr3:uid="{00000000-0010-0000-0900-000004000000}" name="כיתה" dataDxfId="66"/>
    <tableColumn id="5" xr3:uid="{00000000-0010-0000-0900-000005000000}" name="הערכה 1" dataDxfId="65"/>
    <tableColumn id="6" xr3:uid="{00000000-0010-0000-0900-000006000000}" name="הערכה 2" dataDxfId="64"/>
    <tableColumn id="7" xr3:uid="{00000000-0010-0000-0900-000007000000}" name="הערכה 3" dataDxfId="63"/>
    <tableColumn id="8" xr3:uid="{00000000-0010-0000-0900-000008000000}" name="הערכה 4" dataDxfId="62"/>
    <tableColumn id="9" xr3:uid="{00000000-0010-0000-0900-000009000000}" name="הערכה 5" dataDxfId="61"/>
    <tableColumn id="11" xr3:uid="{00000000-0010-0000-0900-00000B000000}" name="הערות" dataDxfId="6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טבלה9" displayName="טבלה9" ref="A2:J37" totalsRowShown="0" headerRowDxfId="59" dataDxfId="58">
  <autoFilter ref="A2:J37" xr:uid="{00000000-0009-0000-0100-00000B000000}"/>
  <tableColumns count="10">
    <tableColumn id="1" xr3:uid="{00000000-0010-0000-0A00-000001000000}" name=" " dataDxfId="57"/>
    <tableColumn id="2" xr3:uid="{00000000-0010-0000-0A00-000002000000}" name="שם משפחה" dataDxfId="56"/>
    <tableColumn id="3" xr3:uid="{00000000-0010-0000-0A00-000003000000}" name="שם פרטי" dataDxfId="55"/>
    <tableColumn id="4" xr3:uid="{00000000-0010-0000-0A00-000004000000}" name="כיתה" dataDxfId="54"/>
    <tableColumn id="5" xr3:uid="{00000000-0010-0000-0A00-000005000000}" name="הערכה 1" dataDxfId="53"/>
    <tableColumn id="6" xr3:uid="{00000000-0010-0000-0A00-000006000000}" name="הערכה 2" dataDxfId="52"/>
    <tableColumn id="7" xr3:uid="{00000000-0010-0000-0A00-000007000000}" name="הערכה 3" dataDxfId="51"/>
    <tableColumn id="8" xr3:uid="{00000000-0010-0000-0A00-000008000000}" name="הערכה 4" dataDxfId="50"/>
    <tableColumn id="9" xr3:uid="{00000000-0010-0000-0A00-000009000000}" name="הערכה 5" dataDxfId="49"/>
    <tableColumn id="11" xr3:uid="{00000000-0010-0000-0A00-00000B000000}" name="הערות" dataDxfId="4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טבלה10" displayName="טבלה10" ref="A2:J37" totalsRowShown="0" headerRowDxfId="47" dataDxfId="46">
  <autoFilter ref="A2:J37" xr:uid="{00000000-0009-0000-0100-00000C000000}"/>
  <tableColumns count="10">
    <tableColumn id="1" xr3:uid="{00000000-0010-0000-0B00-000001000000}" name=" " dataDxfId="45"/>
    <tableColumn id="2" xr3:uid="{00000000-0010-0000-0B00-000002000000}" name="שם משפחה" dataDxfId="44"/>
    <tableColumn id="3" xr3:uid="{00000000-0010-0000-0B00-000003000000}" name="שם פרטי" dataDxfId="43"/>
    <tableColumn id="4" xr3:uid="{00000000-0010-0000-0B00-000004000000}" name="כיתה" dataDxfId="42"/>
    <tableColumn id="5" xr3:uid="{00000000-0010-0000-0B00-000005000000}" name="הערכה 1" dataDxfId="41"/>
    <tableColumn id="6" xr3:uid="{00000000-0010-0000-0B00-000006000000}" name="הערכה 2" dataDxfId="40"/>
    <tableColumn id="7" xr3:uid="{00000000-0010-0000-0B00-000007000000}" name="הערכה 3" dataDxfId="39"/>
    <tableColumn id="8" xr3:uid="{00000000-0010-0000-0B00-000008000000}" name="הערכה 4" dataDxfId="38"/>
    <tableColumn id="9" xr3:uid="{00000000-0010-0000-0B00-000009000000}" name="הערכה 5" dataDxfId="37"/>
    <tableColumn id="11" xr3:uid="{00000000-0010-0000-0B00-00000B000000}" name="הערות" dataDxfId="3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טבלה11" displayName="טבלה11" ref="A2:J37" totalsRowShown="0" headerRowDxfId="35" dataDxfId="34">
  <autoFilter ref="A2:J37" xr:uid="{00000000-0009-0000-0100-00000D000000}"/>
  <tableColumns count="10">
    <tableColumn id="1" xr3:uid="{00000000-0010-0000-0C00-000001000000}" name=" " dataDxfId="33"/>
    <tableColumn id="2" xr3:uid="{00000000-0010-0000-0C00-000002000000}" name="שם משפחה" dataDxfId="32"/>
    <tableColumn id="3" xr3:uid="{00000000-0010-0000-0C00-000003000000}" name="שם פרטי" dataDxfId="31"/>
    <tableColumn id="4" xr3:uid="{00000000-0010-0000-0C00-000004000000}" name="כיתה" dataDxfId="30"/>
    <tableColumn id="5" xr3:uid="{00000000-0010-0000-0C00-000005000000}" name="הערכה 1" dataDxfId="29"/>
    <tableColumn id="6" xr3:uid="{00000000-0010-0000-0C00-000006000000}" name="הערכה 2" dataDxfId="28"/>
    <tableColumn id="7" xr3:uid="{00000000-0010-0000-0C00-000007000000}" name="הערכה 3" dataDxfId="27"/>
    <tableColumn id="8" xr3:uid="{00000000-0010-0000-0C00-000008000000}" name="הערכה 4" dataDxfId="26"/>
    <tableColumn id="9" xr3:uid="{00000000-0010-0000-0C00-000009000000}" name="הערכה 5" dataDxfId="25"/>
    <tableColumn id="11" xr3:uid="{00000000-0010-0000-0C00-00000B000000}" name="הערות" dataDxfId="2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טבלה16" displayName="טבלה16" ref="A2:J37" totalsRowShown="0" headerRowDxfId="23" dataDxfId="22">
  <autoFilter ref="A2:J37" xr:uid="{00000000-0009-0000-0100-00000E000000}"/>
  <tableColumns count="10">
    <tableColumn id="1" xr3:uid="{00000000-0010-0000-0D00-000001000000}" name=" " dataDxfId="21"/>
    <tableColumn id="2" xr3:uid="{00000000-0010-0000-0D00-000002000000}" name="שם משפחה" dataDxfId="20"/>
    <tableColumn id="3" xr3:uid="{00000000-0010-0000-0D00-000003000000}" name="שם פרטי" dataDxfId="19"/>
    <tableColumn id="4" xr3:uid="{00000000-0010-0000-0D00-000004000000}" name="כיתה" dataDxfId="18"/>
    <tableColumn id="5" xr3:uid="{00000000-0010-0000-0D00-000005000000}" name="הערכה 1" dataDxfId="17"/>
    <tableColumn id="6" xr3:uid="{00000000-0010-0000-0D00-000006000000}" name="הערכה 2" dataDxfId="16"/>
    <tableColumn id="7" xr3:uid="{00000000-0010-0000-0D00-000007000000}" name="הערכה 3" dataDxfId="15"/>
    <tableColumn id="8" xr3:uid="{00000000-0010-0000-0D00-000008000000}" name="הערכה 4" dataDxfId="14"/>
    <tableColumn id="9" xr3:uid="{00000000-0010-0000-0D00-000009000000}" name="הערכה 5" dataDxfId="13"/>
    <tableColumn id="11" xr3:uid="{00000000-0010-0000-0D00-00000B000000}" name="הערות" dataDxfId="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טבלה12" displayName="טבלה12" ref="A2:J37" totalsRowShown="0" headerRowDxfId="11" dataDxfId="10">
  <autoFilter ref="A2:J37" xr:uid="{00000000-0009-0000-0100-00000F000000}"/>
  <tableColumns count="10">
    <tableColumn id="1" xr3:uid="{00000000-0010-0000-0E00-000001000000}" name=" " dataDxfId="9"/>
    <tableColumn id="2" xr3:uid="{00000000-0010-0000-0E00-000002000000}" name="שם משפחה" dataDxfId="8"/>
    <tableColumn id="3" xr3:uid="{00000000-0010-0000-0E00-000003000000}" name="שם פרטי" dataDxfId="7"/>
    <tableColumn id="4" xr3:uid="{00000000-0010-0000-0E00-000004000000}" name="כיתה" dataDxfId="6"/>
    <tableColumn id="5" xr3:uid="{00000000-0010-0000-0E00-000005000000}" name="הערכה 1" dataDxfId="5"/>
    <tableColumn id="6" xr3:uid="{00000000-0010-0000-0E00-000006000000}" name="הערכה 2" dataDxfId="4"/>
    <tableColumn id="7" xr3:uid="{00000000-0010-0000-0E00-000007000000}" name="הערכה 3" dataDxfId="3"/>
    <tableColumn id="8" xr3:uid="{00000000-0010-0000-0E00-000008000000}" name="הערכה 4" dataDxfId="2"/>
    <tableColumn id="9" xr3:uid="{00000000-0010-0000-0E00-000009000000}" name="הערכה 5" dataDxfId="1"/>
    <tableColumn id="11" xr3:uid="{00000000-0010-0000-0E00-00000B000000}" name="הערו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C38A81-4224-4D09-8901-B2F3ED04BB09}">
  <we:reference id="wa200003696" version="1.3.0.0" store="he-IL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1D1D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22" customWidth="1"/>
    <col min="8" max="8" width="22" bestFit="1" customWidth="1"/>
    <col min="9" max="9" width="22" customWidth="1"/>
    <col min="10" max="10" width="66" customWidth="1"/>
  </cols>
  <sheetData>
    <row r="1" spans="1:10" s="5" customFormat="1" ht="67.5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11</v>
      </c>
      <c r="C3" s="3" t="s">
        <v>12</v>
      </c>
      <c r="D3" s="3" t="s">
        <v>13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14</v>
      </c>
      <c r="C4" s="3" t="s">
        <v>15</v>
      </c>
      <c r="D4" s="3" t="s">
        <v>13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16</v>
      </c>
      <c r="C5" s="3" t="s">
        <v>17</v>
      </c>
      <c r="D5" s="3" t="s">
        <v>13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18</v>
      </c>
      <c r="C6" s="3" t="s">
        <v>19</v>
      </c>
      <c r="D6" s="3" t="s">
        <v>13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20</v>
      </c>
      <c r="C7" s="3" t="s">
        <v>21</v>
      </c>
      <c r="D7" s="3" t="s">
        <v>13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22</v>
      </c>
      <c r="C8" s="3" t="s">
        <v>23</v>
      </c>
      <c r="D8" s="3" t="s">
        <v>13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24</v>
      </c>
      <c r="C9" s="3" t="s">
        <v>25</v>
      </c>
      <c r="D9" s="3" t="s">
        <v>13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26</v>
      </c>
      <c r="C10" s="3" t="s">
        <v>27</v>
      </c>
      <c r="D10" s="3" t="s">
        <v>13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28</v>
      </c>
      <c r="C11" s="3" t="s">
        <v>29</v>
      </c>
      <c r="D11" s="3" t="s">
        <v>13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30</v>
      </c>
      <c r="C12" s="3" t="s">
        <v>31</v>
      </c>
      <c r="D12" s="3" t="s">
        <v>13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32</v>
      </c>
      <c r="C13" s="3" t="s">
        <v>33</v>
      </c>
      <c r="D13" s="3" t="s">
        <v>13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34</v>
      </c>
      <c r="C14" s="3" t="s">
        <v>35</v>
      </c>
      <c r="D14" s="3" t="s">
        <v>13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36</v>
      </c>
      <c r="C15" s="3" t="s">
        <v>37</v>
      </c>
      <c r="D15" s="3" t="s">
        <v>13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38</v>
      </c>
      <c r="C16" s="3" t="s">
        <v>39</v>
      </c>
      <c r="D16" s="3" t="s">
        <v>13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40</v>
      </c>
      <c r="C17" s="3" t="s">
        <v>41</v>
      </c>
      <c r="D17" s="3" t="s">
        <v>13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42</v>
      </c>
      <c r="C18" s="3" t="s">
        <v>43</v>
      </c>
      <c r="D18" s="3" t="s">
        <v>13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44</v>
      </c>
      <c r="C19" s="3" t="s">
        <v>45</v>
      </c>
      <c r="D19" s="3" t="s">
        <v>13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 t="s">
        <v>46</v>
      </c>
      <c r="C20" s="3" t="s">
        <v>47</v>
      </c>
      <c r="D20" s="3" t="s">
        <v>13</v>
      </c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 t="s">
        <v>48</v>
      </c>
      <c r="C21" s="3" t="s">
        <v>49</v>
      </c>
      <c r="D21" s="3" t="s">
        <v>13</v>
      </c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 t="s">
        <v>50</v>
      </c>
      <c r="C22" s="3" t="s">
        <v>51</v>
      </c>
      <c r="D22" s="3" t="s">
        <v>13</v>
      </c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 t="s">
        <v>52</v>
      </c>
      <c r="C23" s="3" t="s">
        <v>53</v>
      </c>
      <c r="D23" s="3" t="s">
        <v>13</v>
      </c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 t="s">
        <v>54</v>
      </c>
      <c r="C24" s="3" t="s">
        <v>55</v>
      </c>
      <c r="D24" s="3" t="s">
        <v>13</v>
      </c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 t="s">
        <v>56</v>
      </c>
      <c r="C25" s="3" t="s">
        <v>57</v>
      </c>
      <c r="D25" s="3" t="s">
        <v>13</v>
      </c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 t="s">
        <v>58</v>
      </c>
      <c r="C26" s="3" t="s">
        <v>59</v>
      </c>
      <c r="D26" s="3" t="s">
        <v>13</v>
      </c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28515625" bestFit="1" customWidth="1"/>
    <col min="2" max="2" width="11.5703125" bestFit="1" customWidth="1"/>
    <col min="3" max="3" width="9.42578125" bestFit="1" customWidth="1"/>
    <col min="4" max="4" width="6.5703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57" customHeight="1" x14ac:dyDescent="0.25">
      <c r="A1" s="30" t="s">
        <v>60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0" x14ac:dyDescent="0.25">
      <c r="A3" s="2">
        <v>1</v>
      </c>
      <c r="B3" s="3" t="s">
        <v>27</v>
      </c>
      <c r="C3" s="3" t="s">
        <v>61</v>
      </c>
      <c r="D3" s="3" t="s">
        <v>62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63</v>
      </c>
      <c r="C4" s="3" t="s">
        <v>64</v>
      </c>
      <c r="D4" s="3" t="s">
        <v>65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66</v>
      </c>
      <c r="C5" s="3" t="s">
        <v>67</v>
      </c>
      <c r="D5" s="3" t="s">
        <v>65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68</v>
      </c>
      <c r="C6" s="3" t="s">
        <v>69</v>
      </c>
      <c r="D6" s="3" t="s">
        <v>62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70</v>
      </c>
      <c r="C7" s="3" t="s">
        <v>71</v>
      </c>
      <c r="D7" s="3" t="s">
        <v>65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72</v>
      </c>
      <c r="C8" s="3" t="s">
        <v>73</v>
      </c>
      <c r="D8" s="3" t="s">
        <v>62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74</v>
      </c>
      <c r="C9" s="3" t="s">
        <v>75</v>
      </c>
      <c r="D9" s="3" t="s">
        <v>65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76</v>
      </c>
      <c r="C10" s="3" t="s">
        <v>77</v>
      </c>
      <c r="D10" s="3" t="s">
        <v>62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78</v>
      </c>
      <c r="C11" s="3" t="s">
        <v>79</v>
      </c>
      <c r="D11" s="3" t="s">
        <v>62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80</v>
      </c>
      <c r="C12" s="3" t="s">
        <v>81</v>
      </c>
      <c r="D12" s="3" t="s">
        <v>62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82</v>
      </c>
      <c r="C13" s="3" t="s">
        <v>71</v>
      </c>
      <c r="D13" s="3" t="s">
        <v>65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83</v>
      </c>
      <c r="C14" s="3" t="s">
        <v>84</v>
      </c>
      <c r="D14" s="3" t="s">
        <v>65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85</v>
      </c>
      <c r="C15" s="3" t="s">
        <v>86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87</v>
      </c>
      <c r="C16" s="3" t="s">
        <v>35</v>
      </c>
      <c r="D16" s="3" t="s">
        <v>65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26</v>
      </c>
      <c r="C17" s="3" t="s">
        <v>88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26</v>
      </c>
      <c r="C18" s="3" t="s">
        <v>78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26</v>
      </c>
      <c r="C19" s="3" t="s">
        <v>89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 t="s">
        <v>30</v>
      </c>
      <c r="C20" s="3" t="s">
        <v>90</v>
      </c>
      <c r="D20" s="3" t="s">
        <v>65</v>
      </c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 t="s">
        <v>91</v>
      </c>
      <c r="C21" s="3" t="s">
        <v>92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 t="s">
        <v>93</v>
      </c>
      <c r="C22" s="3" t="s">
        <v>94</v>
      </c>
      <c r="D22" s="3" t="s">
        <v>65</v>
      </c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 t="s">
        <v>95</v>
      </c>
      <c r="C23" s="3" t="s">
        <v>96</v>
      </c>
      <c r="D23" s="3" t="s">
        <v>65</v>
      </c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 t="s">
        <v>97</v>
      </c>
      <c r="C24" s="3" t="s">
        <v>98</v>
      </c>
      <c r="D24" s="3" t="s">
        <v>65</v>
      </c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 t="s">
        <v>58</v>
      </c>
      <c r="C25" s="3" t="s">
        <v>99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7"/>
      <c r="B38" s="7"/>
      <c r="C38" s="7"/>
      <c r="D38" s="7"/>
      <c r="E38" s="7" t="e">
        <f>AVERAGE(E3:E37)</f>
        <v>#DIV/0!</v>
      </c>
      <c r="F38" s="7" t="e">
        <f>AVERAGE(F3:F37)</f>
        <v>#DIV/0!</v>
      </c>
      <c r="G38" s="7" t="e">
        <f>AVERAGE(G3:G37)</f>
        <v>#DIV/0!</v>
      </c>
      <c r="H38" s="7" t="e">
        <f>AVERAGE(H3:H37)</f>
        <v>#DIV/0!</v>
      </c>
      <c r="I38" s="7" t="e">
        <f>AVERAGE(I3:I37)</f>
        <v>#DIV/0!</v>
      </c>
      <c r="J38" s="7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6666"/>
  </sheetPr>
  <dimension ref="A1:J38"/>
  <sheetViews>
    <sheetView rightToLeft="1" topLeftCell="E1" workbookViewId="0"/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22" customWidth="1"/>
    <col min="8" max="8" width="22" bestFit="1" customWidth="1"/>
    <col min="9" max="9" width="22" customWidth="1"/>
    <col min="10" max="10" width="66" customWidth="1"/>
  </cols>
  <sheetData>
    <row r="1" spans="1:10" ht="67.5" customHeight="1" x14ac:dyDescent="0.25">
      <c r="A1" s="32" t="s">
        <v>100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101</v>
      </c>
      <c r="C3" s="3" t="s">
        <v>102</v>
      </c>
      <c r="D3" s="3" t="s">
        <v>65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103</v>
      </c>
      <c r="C4" s="3" t="s">
        <v>31</v>
      </c>
      <c r="D4" s="3" t="s">
        <v>62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104</v>
      </c>
      <c r="C5" s="3" t="s">
        <v>105</v>
      </c>
      <c r="D5" s="3" t="s">
        <v>65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106</v>
      </c>
      <c r="C6" s="3" t="s">
        <v>102</v>
      </c>
      <c r="D6" s="3" t="s">
        <v>62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107</v>
      </c>
      <c r="C7" s="3" t="s">
        <v>45</v>
      </c>
      <c r="D7" s="3" t="s">
        <v>65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108</v>
      </c>
      <c r="C8" s="3" t="s">
        <v>109</v>
      </c>
      <c r="D8" s="3" t="s">
        <v>65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110</v>
      </c>
      <c r="C9" s="3" t="s">
        <v>111</v>
      </c>
      <c r="D9" s="3" t="s">
        <v>65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112</v>
      </c>
      <c r="C10" s="3" t="s">
        <v>113</v>
      </c>
      <c r="D10" s="3" t="s">
        <v>65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114</v>
      </c>
      <c r="C11" s="3" t="s">
        <v>115</v>
      </c>
      <c r="D11" s="3" t="s">
        <v>62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116</v>
      </c>
      <c r="C12" s="3" t="s">
        <v>77</v>
      </c>
      <c r="D12" s="3" t="s">
        <v>62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117</v>
      </c>
      <c r="C13" s="3" t="s">
        <v>118</v>
      </c>
      <c r="D13" s="3" t="s">
        <v>119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30</v>
      </c>
      <c r="C14" s="3" t="s">
        <v>102</v>
      </c>
      <c r="D14" s="3" t="s">
        <v>62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30</v>
      </c>
      <c r="C15" s="3" t="s">
        <v>120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121</v>
      </c>
      <c r="C16" s="3" t="s">
        <v>122</v>
      </c>
      <c r="D16" s="3" t="s">
        <v>62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8C8C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22" customWidth="1"/>
    <col min="8" max="8" width="22" bestFit="1" customWidth="1"/>
    <col min="9" max="9" width="22" customWidth="1"/>
    <col min="10" max="10" width="66" customWidth="1"/>
  </cols>
  <sheetData>
    <row r="1" spans="1:10" ht="67.5" customHeight="1" x14ac:dyDescent="0.25">
      <c r="A1" s="32" t="s">
        <v>123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124</v>
      </c>
      <c r="C3" s="3" t="s">
        <v>125</v>
      </c>
      <c r="D3" s="3" t="s">
        <v>119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126</v>
      </c>
      <c r="C4" s="3" t="s">
        <v>31</v>
      </c>
      <c r="D4" s="3" t="s">
        <v>119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127</v>
      </c>
      <c r="C5" s="3" t="s">
        <v>128</v>
      </c>
      <c r="D5" s="3" t="s">
        <v>119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129</v>
      </c>
      <c r="C6" s="3" t="s">
        <v>130</v>
      </c>
      <c r="D6" s="3" t="s">
        <v>119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131</v>
      </c>
      <c r="C7" s="3" t="s">
        <v>132</v>
      </c>
      <c r="D7" s="3" t="s">
        <v>119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133</v>
      </c>
      <c r="C8" s="3" t="s">
        <v>98</v>
      </c>
      <c r="D8" s="3" t="s">
        <v>119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134</v>
      </c>
      <c r="C9" s="3" t="s">
        <v>120</v>
      </c>
      <c r="D9" s="3" t="s">
        <v>119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135</v>
      </c>
      <c r="C10" s="3" t="s">
        <v>136</v>
      </c>
      <c r="D10" s="3" t="s">
        <v>119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137</v>
      </c>
      <c r="C11" s="3" t="s">
        <v>138</v>
      </c>
      <c r="D11" s="3" t="s">
        <v>119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139</v>
      </c>
      <c r="C12" s="3" t="s">
        <v>140</v>
      </c>
      <c r="D12" s="3" t="s">
        <v>119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141</v>
      </c>
      <c r="C13" s="3" t="s">
        <v>142</v>
      </c>
      <c r="D13" s="3" t="s">
        <v>119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143</v>
      </c>
      <c r="C14" s="3" t="s">
        <v>144</v>
      </c>
      <c r="D14" s="3" t="s">
        <v>119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145</v>
      </c>
      <c r="C15" s="3" t="s">
        <v>146</v>
      </c>
      <c r="D15" s="3" t="s">
        <v>119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6A3E"/>
  </sheetPr>
  <dimension ref="A1:J38"/>
  <sheetViews>
    <sheetView rightToLeft="1" workbookViewId="0">
      <selection activeCell="E2" sqref="E2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67.5" customHeight="1" x14ac:dyDescent="0.25">
      <c r="A1" s="32" t="s">
        <v>147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14</v>
      </c>
      <c r="C3" s="3" t="s">
        <v>125</v>
      </c>
      <c r="D3" s="3" t="s">
        <v>148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149</v>
      </c>
      <c r="C4" s="3" t="s">
        <v>150</v>
      </c>
      <c r="D4" s="3" t="s">
        <v>148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151</v>
      </c>
      <c r="C5" s="3" t="s">
        <v>152</v>
      </c>
      <c r="D5" s="3" t="s">
        <v>148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153</v>
      </c>
      <c r="C6" s="3" t="s">
        <v>154</v>
      </c>
      <c r="D6" s="3" t="s">
        <v>148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20</v>
      </c>
      <c r="C7" s="3" t="s">
        <v>155</v>
      </c>
      <c r="D7" s="3" t="s">
        <v>148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20</v>
      </c>
      <c r="C8" s="3" t="s">
        <v>156</v>
      </c>
      <c r="D8" s="3" t="s">
        <v>148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157</v>
      </c>
      <c r="C9" s="3" t="s">
        <v>158</v>
      </c>
      <c r="D9" s="3" t="s">
        <v>148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159</v>
      </c>
      <c r="C10" s="3" t="s">
        <v>160</v>
      </c>
      <c r="D10" s="3" t="s">
        <v>148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161</v>
      </c>
      <c r="C11" s="3" t="s">
        <v>162</v>
      </c>
      <c r="D11" s="3" t="s">
        <v>148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30</v>
      </c>
      <c r="C12" s="3" t="s">
        <v>43</v>
      </c>
      <c r="D12" s="3" t="s">
        <v>148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163</v>
      </c>
      <c r="C13" s="3" t="s">
        <v>164</v>
      </c>
      <c r="D13" s="3" t="s">
        <v>148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165</v>
      </c>
      <c r="C14" s="3" t="s">
        <v>166</v>
      </c>
      <c r="D14" s="3" t="s">
        <v>148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167</v>
      </c>
      <c r="C15" s="3" t="s">
        <v>168</v>
      </c>
      <c r="D15" s="3" t="s">
        <v>148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169</v>
      </c>
      <c r="C16" s="3" t="s">
        <v>170</v>
      </c>
      <c r="D16" s="3" t="s">
        <v>148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171</v>
      </c>
      <c r="C17" s="3" t="s">
        <v>172</v>
      </c>
      <c r="D17" s="3" t="s">
        <v>148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144</v>
      </c>
      <c r="C18" s="3" t="s">
        <v>173</v>
      </c>
      <c r="D18" s="3" t="s">
        <v>148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174</v>
      </c>
      <c r="C19" s="3" t="s">
        <v>175</v>
      </c>
      <c r="D19" s="3" t="s">
        <v>148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J38"/>
  <sheetViews>
    <sheetView rightToLeft="1" tabSelected="1" workbookViewId="0">
      <selection sqref="A1:J1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21" customWidth="1"/>
    <col min="8" max="8" width="21" bestFit="1" customWidth="1"/>
    <col min="9" max="9" width="21" customWidth="1"/>
    <col min="10" max="10" width="63" customWidth="1"/>
  </cols>
  <sheetData>
    <row r="1" spans="1:10" ht="67.5" customHeight="1" x14ac:dyDescent="0.25">
      <c r="A1" s="32" t="s">
        <v>176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177</v>
      </c>
      <c r="C3" s="3" t="s">
        <v>15</v>
      </c>
      <c r="D3" s="3" t="s">
        <v>178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179</v>
      </c>
      <c r="C4" s="3" t="s">
        <v>180</v>
      </c>
      <c r="D4" s="3" t="s">
        <v>178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181</v>
      </c>
      <c r="C5" s="3" t="s">
        <v>182</v>
      </c>
      <c r="D5" s="3" t="s">
        <v>178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183</v>
      </c>
      <c r="C6" s="3" t="s">
        <v>150</v>
      </c>
      <c r="D6" s="3" t="s">
        <v>178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184</v>
      </c>
      <c r="C7" s="3" t="s">
        <v>185</v>
      </c>
      <c r="D7" s="3" t="s">
        <v>178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14</v>
      </c>
      <c r="C8" s="3" t="s">
        <v>186</v>
      </c>
      <c r="D8" s="3" t="s">
        <v>178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187</v>
      </c>
      <c r="C9" s="3" t="s">
        <v>41</v>
      </c>
      <c r="D9" s="3" t="s">
        <v>178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188</v>
      </c>
      <c r="C10" s="3" t="s">
        <v>189</v>
      </c>
      <c r="D10" s="3" t="s">
        <v>178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190</v>
      </c>
      <c r="C11" s="3" t="s">
        <v>191</v>
      </c>
      <c r="D11" s="3" t="s">
        <v>178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192</v>
      </c>
      <c r="C12" s="3" t="s">
        <v>193</v>
      </c>
      <c r="D12" s="3" t="s">
        <v>178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194</v>
      </c>
      <c r="C13" s="3" t="s">
        <v>125</v>
      </c>
      <c r="D13" s="3" t="s">
        <v>178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195</v>
      </c>
      <c r="C14" s="3" t="s">
        <v>31</v>
      </c>
      <c r="D14" s="3" t="s">
        <v>178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196</v>
      </c>
      <c r="C15" s="3" t="s">
        <v>197</v>
      </c>
      <c r="D15" s="3" t="s">
        <v>178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198</v>
      </c>
      <c r="C16" s="3" t="s">
        <v>199</v>
      </c>
      <c r="D16" s="3" t="s">
        <v>178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134</v>
      </c>
      <c r="C17" s="3" t="s">
        <v>102</v>
      </c>
      <c r="D17" s="3" t="s">
        <v>178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200</v>
      </c>
      <c r="C18" s="3" t="s">
        <v>201</v>
      </c>
      <c r="D18" s="3" t="s">
        <v>178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54</v>
      </c>
      <c r="C19" s="3" t="s">
        <v>140</v>
      </c>
      <c r="D19" s="3" t="s">
        <v>178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 t="s">
        <v>202</v>
      </c>
      <c r="C20" s="3" t="s">
        <v>180</v>
      </c>
      <c r="D20" s="3" t="s">
        <v>178</v>
      </c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 t="s">
        <v>203</v>
      </c>
      <c r="C21" s="3" t="s">
        <v>17</v>
      </c>
      <c r="D21" s="3" t="s">
        <v>178</v>
      </c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 t="s">
        <v>204</v>
      </c>
      <c r="C22" s="3" t="s">
        <v>205</v>
      </c>
      <c r="D22" s="3" t="s">
        <v>178</v>
      </c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 t="s">
        <v>206</v>
      </c>
      <c r="C23" s="3" t="s">
        <v>150</v>
      </c>
      <c r="D23" s="3" t="s">
        <v>178</v>
      </c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 t="s">
        <v>207</v>
      </c>
      <c r="C24" s="3" t="s">
        <v>208</v>
      </c>
      <c r="D24" s="3" t="s">
        <v>178</v>
      </c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 t="s">
        <v>209</v>
      </c>
      <c r="C25" s="3" t="s">
        <v>172</v>
      </c>
      <c r="D25" s="3" t="s">
        <v>178</v>
      </c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 t="s">
        <v>208</v>
      </c>
      <c r="C26" s="3" t="s">
        <v>150</v>
      </c>
      <c r="D26" s="3" t="s">
        <v>210</v>
      </c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J38"/>
  <sheetViews>
    <sheetView rightToLeft="1" workbookViewId="0">
      <selection activeCell="I38" sqref="I38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67.5" customHeight="1" x14ac:dyDescent="0.25">
      <c r="A1" s="32" t="s">
        <v>211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212</v>
      </c>
      <c r="C3" s="3" t="s">
        <v>213</v>
      </c>
      <c r="D3" s="3" t="s">
        <v>214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215</v>
      </c>
      <c r="C4" s="3" t="s">
        <v>216</v>
      </c>
      <c r="D4" s="3" t="s">
        <v>214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187</v>
      </c>
      <c r="C5" s="3" t="s">
        <v>217</v>
      </c>
      <c r="D5" s="3" t="s">
        <v>214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218</v>
      </c>
      <c r="C6" s="3" t="s">
        <v>219</v>
      </c>
      <c r="D6" s="3" t="s">
        <v>214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220</v>
      </c>
      <c r="C7" s="3" t="s">
        <v>162</v>
      </c>
      <c r="D7" s="3" t="s">
        <v>221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222</v>
      </c>
      <c r="C8" s="3" t="s">
        <v>223</v>
      </c>
      <c r="D8" s="3" t="s">
        <v>221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224</v>
      </c>
      <c r="C9" s="3" t="s">
        <v>225</v>
      </c>
      <c r="D9" s="3" t="s">
        <v>214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226</v>
      </c>
      <c r="C10" s="3" t="s">
        <v>227</v>
      </c>
      <c r="D10" s="3" t="s">
        <v>214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228</v>
      </c>
      <c r="C11" s="3" t="s">
        <v>229</v>
      </c>
      <c r="D11" s="3" t="s">
        <v>221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230</v>
      </c>
      <c r="C12" s="3" t="s">
        <v>231</v>
      </c>
      <c r="D12" s="3" t="s">
        <v>221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232</v>
      </c>
      <c r="C13" s="3" t="s">
        <v>199</v>
      </c>
      <c r="D13" s="3" t="s">
        <v>214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233</v>
      </c>
      <c r="C14" s="3" t="s">
        <v>234</v>
      </c>
      <c r="D14" s="3" t="s">
        <v>221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235</v>
      </c>
      <c r="C15" s="3" t="s">
        <v>19</v>
      </c>
      <c r="D15" s="3" t="s">
        <v>214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206</v>
      </c>
      <c r="C16" s="3" t="s">
        <v>236</v>
      </c>
      <c r="D16" s="3" t="s">
        <v>214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9D18E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28515625" bestFit="1" customWidth="1"/>
    <col min="2" max="2" width="11.5703125" bestFit="1" customWidth="1"/>
    <col min="3" max="3" width="9.42578125" bestFit="1" customWidth="1"/>
    <col min="4" max="4" width="6.5703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57" customHeight="1" x14ac:dyDescent="0.25">
      <c r="A1" s="33" t="s">
        <v>237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0" x14ac:dyDescent="0.25">
      <c r="A3" s="2">
        <v>1</v>
      </c>
      <c r="B3" s="3" t="s">
        <v>238</v>
      </c>
      <c r="C3" s="3" t="s">
        <v>239</v>
      </c>
      <c r="D3" s="3" t="s">
        <v>240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241</v>
      </c>
      <c r="C4" s="3" t="s">
        <v>242</v>
      </c>
      <c r="D4" s="3" t="s">
        <v>240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243</v>
      </c>
      <c r="C5" s="3" t="s">
        <v>186</v>
      </c>
      <c r="D5" s="3" t="s">
        <v>240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244</v>
      </c>
      <c r="C6" s="3" t="s">
        <v>245</v>
      </c>
      <c r="D6" s="3" t="s">
        <v>240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26</v>
      </c>
      <c r="C7" s="3" t="s">
        <v>45</v>
      </c>
      <c r="D7" s="3" t="s">
        <v>240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26</v>
      </c>
      <c r="C8" s="3" t="s">
        <v>125</v>
      </c>
      <c r="D8" s="3" t="s">
        <v>240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246</v>
      </c>
      <c r="C9" s="3" t="s">
        <v>247</v>
      </c>
      <c r="D9" s="3" t="s">
        <v>240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233</v>
      </c>
      <c r="C10" s="3" t="s">
        <v>118</v>
      </c>
      <c r="D10" s="3" t="s">
        <v>240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248</v>
      </c>
      <c r="C11" s="3" t="s">
        <v>249</v>
      </c>
      <c r="D11" s="3" t="s">
        <v>240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250</v>
      </c>
      <c r="C12" s="3" t="s">
        <v>251</v>
      </c>
      <c r="D12" s="3" t="s">
        <v>240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252</v>
      </c>
      <c r="C13" s="3" t="s">
        <v>253</v>
      </c>
      <c r="D13" s="3" t="s">
        <v>240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95</v>
      </c>
      <c r="C14" s="3" t="s">
        <v>92</v>
      </c>
      <c r="D14" s="3" t="s">
        <v>240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254</v>
      </c>
      <c r="C15" s="3" t="s">
        <v>255</v>
      </c>
      <c r="D15" s="3" t="s">
        <v>240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7"/>
      <c r="B38" s="7"/>
      <c r="C38" s="7"/>
      <c r="D38" s="7"/>
      <c r="E38" s="7" t="e">
        <f>AVERAGE(E3:E37)</f>
        <v>#DIV/0!</v>
      </c>
      <c r="F38" s="7" t="e">
        <f>AVERAGE(F3:F37)</f>
        <v>#DIV/0!</v>
      </c>
      <c r="G38" s="7" t="e">
        <f>AVERAGE(G3:G37)</f>
        <v>#DIV/0!</v>
      </c>
      <c r="H38" s="7" t="e">
        <f>AVERAGE(H3:H37)</f>
        <v>#DIV/0!</v>
      </c>
      <c r="I38" s="7" t="e">
        <f>AVERAGE(I3:I37)</f>
        <v>#DIV/0!</v>
      </c>
      <c r="J38" s="7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3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67.5" customHeight="1" x14ac:dyDescent="0.25">
      <c r="A1" s="29" t="s">
        <v>256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257</v>
      </c>
      <c r="C3" s="3" t="s">
        <v>258</v>
      </c>
      <c r="D3" s="3" t="s">
        <v>259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260</v>
      </c>
      <c r="C4" s="3" t="s">
        <v>120</v>
      </c>
      <c r="D4" s="3" t="s">
        <v>259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261</v>
      </c>
      <c r="C5" s="3" t="s">
        <v>78</v>
      </c>
      <c r="D5" s="3" t="s">
        <v>259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262</v>
      </c>
      <c r="C6" s="3" t="s">
        <v>17</v>
      </c>
      <c r="D6" s="3" t="s">
        <v>259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263</v>
      </c>
      <c r="C7" s="3" t="s">
        <v>182</v>
      </c>
      <c r="D7" s="3" t="s">
        <v>259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264</v>
      </c>
      <c r="C8" s="3" t="s">
        <v>265</v>
      </c>
      <c r="D8" s="3" t="s">
        <v>259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5E0B3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28515625" bestFit="1" customWidth="1"/>
    <col min="2" max="2" width="11.5703125" bestFit="1" customWidth="1"/>
    <col min="3" max="3" width="9.42578125" bestFit="1" customWidth="1"/>
    <col min="4" max="4" width="6.5703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57" customHeight="1" x14ac:dyDescent="0.25">
      <c r="A1" s="33" t="s">
        <v>266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0" x14ac:dyDescent="0.25">
      <c r="A3" s="2">
        <v>1</v>
      </c>
      <c r="B3" s="3" t="s">
        <v>267</v>
      </c>
      <c r="C3" s="3" t="s">
        <v>225</v>
      </c>
      <c r="D3" s="3" t="s">
        <v>259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268</v>
      </c>
      <c r="C4" s="3" t="s">
        <v>102</v>
      </c>
      <c r="D4" s="3" t="s">
        <v>259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30</v>
      </c>
      <c r="C5" s="3" t="s">
        <v>180</v>
      </c>
      <c r="D5" s="3" t="s">
        <v>259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269</v>
      </c>
      <c r="C6" s="3" t="s">
        <v>265</v>
      </c>
      <c r="D6" s="3" t="s">
        <v>259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270</v>
      </c>
      <c r="C7" s="3" t="s">
        <v>271</v>
      </c>
      <c r="D7" s="3" t="s">
        <v>259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272</v>
      </c>
      <c r="C8" s="3" t="s">
        <v>273</v>
      </c>
      <c r="D8" s="3" t="s">
        <v>259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7"/>
      <c r="B38" s="7"/>
      <c r="C38" s="7"/>
      <c r="D38" s="7"/>
      <c r="E38" s="7" t="e">
        <f>AVERAGE(E3:E37)</f>
        <v>#DIV/0!</v>
      </c>
      <c r="F38" s="7" t="e">
        <f>AVERAGE(F3:F37)</f>
        <v>#DIV/0!</v>
      </c>
      <c r="G38" s="7" t="e">
        <f>AVERAGE(G3:G37)</f>
        <v>#DIV/0!</v>
      </c>
      <c r="H38" s="7" t="e">
        <f>AVERAGE(H3:H37)</f>
        <v>#DIV/0!</v>
      </c>
      <c r="I38" s="7" t="e">
        <f>AVERAGE(I3:I37)</f>
        <v>#DIV/0!</v>
      </c>
      <c r="J38" s="7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9"/>
  </sheetPr>
  <dimension ref="A1:J38"/>
  <sheetViews>
    <sheetView rightToLeft="1" workbookViewId="0">
      <selection activeCell="I45" sqref="I45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67.5" customHeight="1" x14ac:dyDescent="0.25">
      <c r="A1" s="32" t="s">
        <v>274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275</v>
      </c>
      <c r="C3" s="3" t="s">
        <v>154</v>
      </c>
      <c r="D3" s="3" t="s">
        <v>276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277</v>
      </c>
      <c r="C4" s="3" t="s">
        <v>278</v>
      </c>
      <c r="D4" s="3" t="s">
        <v>276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279</v>
      </c>
      <c r="C5" s="3" t="s">
        <v>125</v>
      </c>
      <c r="D5" s="3" t="s">
        <v>276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280</v>
      </c>
      <c r="C6" s="3" t="s">
        <v>281</v>
      </c>
      <c r="D6" s="3" t="s">
        <v>276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282</v>
      </c>
      <c r="C7" s="3" t="s">
        <v>283</v>
      </c>
      <c r="D7" s="3" t="s">
        <v>276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284</v>
      </c>
      <c r="C8" s="3" t="s">
        <v>86</v>
      </c>
      <c r="D8" s="3" t="s">
        <v>276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285</v>
      </c>
      <c r="C9" s="3" t="s">
        <v>265</v>
      </c>
      <c r="D9" s="3" t="s">
        <v>276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16</v>
      </c>
      <c r="C10" s="3" t="s">
        <v>180</v>
      </c>
      <c r="D10" s="3" t="s">
        <v>276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286</v>
      </c>
      <c r="C11" s="3" t="s">
        <v>45</v>
      </c>
      <c r="D11" s="3" t="s">
        <v>276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22</v>
      </c>
      <c r="C12" s="3" t="s">
        <v>150</v>
      </c>
      <c r="D12" s="3" t="s">
        <v>276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287</v>
      </c>
      <c r="C13" s="3" t="s">
        <v>288</v>
      </c>
      <c r="D13" s="3" t="s">
        <v>276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289</v>
      </c>
      <c r="C14" s="3" t="s">
        <v>290</v>
      </c>
      <c r="D14" s="3" t="s">
        <v>276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32</v>
      </c>
      <c r="C15" s="3" t="s">
        <v>291</v>
      </c>
      <c r="D15" s="3" t="s">
        <v>276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292</v>
      </c>
      <c r="C16" s="3" t="s">
        <v>293</v>
      </c>
      <c r="D16" s="3" t="s">
        <v>276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294</v>
      </c>
      <c r="C17" s="3" t="s">
        <v>295</v>
      </c>
      <c r="D17" s="3" t="s">
        <v>276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296</v>
      </c>
      <c r="C18" s="3" t="s">
        <v>297</v>
      </c>
      <c r="D18" s="3" t="s">
        <v>276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298</v>
      </c>
      <c r="C19" s="3" t="s">
        <v>299</v>
      </c>
      <c r="D19" s="3" t="s">
        <v>276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 t="s">
        <v>300</v>
      </c>
      <c r="C20" s="3" t="s">
        <v>98</v>
      </c>
      <c r="D20" s="3" t="s">
        <v>276</v>
      </c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 t="s">
        <v>301</v>
      </c>
      <c r="C21" s="3" t="s">
        <v>302</v>
      </c>
      <c r="D21" s="3" t="s">
        <v>276</v>
      </c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 t="s">
        <v>303</v>
      </c>
      <c r="C22" s="3" t="s">
        <v>304</v>
      </c>
      <c r="D22" s="3" t="s">
        <v>276</v>
      </c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 t="s">
        <v>305</v>
      </c>
      <c r="C23" s="3" t="s">
        <v>306</v>
      </c>
      <c r="D23" s="3" t="s">
        <v>276</v>
      </c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 t="s">
        <v>307</v>
      </c>
      <c r="C24" s="3" t="s">
        <v>308</v>
      </c>
      <c r="D24" s="3" t="s">
        <v>276</v>
      </c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 t="s">
        <v>309</v>
      </c>
      <c r="C25" s="3" t="s">
        <v>43</v>
      </c>
      <c r="D25" s="3" t="s">
        <v>276</v>
      </c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 t="s">
        <v>310</v>
      </c>
      <c r="C26" s="3" t="s">
        <v>291</v>
      </c>
      <c r="D26" s="3" t="s">
        <v>276</v>
      </c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 t="s">
        <v>58</v>
      </c>
      <c r="C27" s="3" t="s">
        <v>311</v>
      </c>
      <c r="D27" s="3" t="s">
        <v>276</v>
      </c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 t="s">
        <v>58</v>
      </c>
      <c r="C28" s="3" t="s">
        <v>125</v>
      </c>
      <c r="D28" s="3" t="s">
        <v>276</v>
      </c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 t="s">
        <v>58</v>
      </c>
      <c r="C29" s="3" t="s">
        <v>312</v>
      </c>
      <c r="D29" s="3" t="s">
        <v>276</v>
      </c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 t="s">
        <v>313</v>
      </c>
      <c r="C30" s="3" t="s">
        <v>314</v>
      </c>
      <c r="D30" s="3" t="s">
        <v>276</v>
      </c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5B6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67.5" customHeight="1" x14ac:dyDescent="0.25">
      <c r="A1" s="32" t="s">
        <v>315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316</v>
      </c>
      <c r="C3" s="3" t="s">
        <v>317</v>
      </c>
      <c r="D3" s="3" t="s">
        <v>318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319</v>
      </c>
      <c r="C4" s="3" t="s">
        <v>320</v>
      </c>
      <c r="D4" s="3" t="s">
        <v>318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321</v>
      </c>
      <c r="C5" s="3" t="s">
        <v>322</v>
      </c>
      <c r="D5" s="3" t="s">
        <v>318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323</v>
      </c>
      <c r="C6" s="3" t="s">
        <v>253</v>
      </c>
      <c r="D6" s="3" t="s">
        <v>318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184</v>
      </c>
      <c r="C7" s="3" t="s">
        <v>324</v>
      </c>
      <c r="D7" s="3" t="s">
        <v>318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209</v>
      </c>
      <c r="C8" s="3" t="s">
        <v>325</v>
      </c>
      <c r="D8" s="3" t="s">
        <v>318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26</v>
      </c>
      <c r="C9" s="3" t="s">
        <v>326</v>
      </c>
      <c r="D9" s="3" t="s">
        <v>318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327</v>
      </c>
      <c r="C10" s="3" t="s">
        <v>157</v>
      </c>
      <c r="D10" s="3" t="s">
        <v>318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328</v>
      </c>
      <c r="C11" s="3" t="s">
        <v>208</v>
      </c>
      <c r="D11" s="3" t="s">
        <v>318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/>
      <c r="C12" s="3" t="s">
        <v>55</v>
      </c>
      <c r="D12" s="3" t="s">
        <v>318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/>
      <c r="C13" s="3" t="s">
        <v>329</v>
      </c>
      <c r="D13" s="3" t="s">
        <v>318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330</v>
      </c>
      <c r="C14" s="3" t="s">
        <v>331</v>
      </c>
      <c r="D14" s="3" t="s">
        <v>318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332</v>
      </c>
      <c r="C15" s="3" t="s">
        <v>98</v>
      </c>
      <c r="D15" s="3" t="s">
        <v>318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333</v>
      </c>
      <c r="C16" s="3" t="s">
        <v>186</v>
      </c>
      <c r="D16" s="3" t="s">
        <v>318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334</v>
      </c>
      <c r="C17" s="3" t="s">
        <v>335</v>
      </c>
      <c r="D17" s="3" t="s">
        <v>318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161</v>
      </c>
      <c r="C18" s="3" t="s">
        <v>336</v>
      </c>
      <c r="D18" s="3" t="s">
        <v>318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337</v>
      </c>
      <c r="C19" s="3" t="s">
        <v>102</v>
      </c>
      <c r="D19" s="3" t="s">
        <v>318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 t="s">
        <v>338</v>
      </c>
      <c r="C20" s="3" t="s">
        <v>339</v>
      </c>
      <c r="D20" s="3" t="s">
        <v>318</v>
      </c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 t="s">
        <v>340</v>
      </c>
      <c r="C21" s="3" t="s">
        <v>19</v>
      </c>
      <c r="D21" s="3" t="s">
        <v>318</v>
      </c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 t="s">
        <v>341</v>
      </c>
      <c r="C22" s="3" t="s">
        <v>291</v>
      </c>
      <c r="D22" s="3" t="s">
        <v>318</v>
      </c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 t="s">
        <v>342</v>
      </c>
      <c r="C23" s="3" t="s">
        <v>120</v>
      </c>
      <c r="D23" s="3" t="s">
        <v>318</v>
      </c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 t="s">
        <v>343</v>
      </c>
      <c r="C24" s="3" t="s">
        <v>175</v>
      </c>
      <c r="D24" s="3" t="s">
        <v>318</v>
      </c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 t="s">
        <v>344</v>
      </c>
      <c r="C25" s="3" t="s">
        <v>345</v>
      </c>
      <c r="D25" s="3" t="s">
        <v>318</v>
      </c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J38"/>
  <sheetViews>
    <sheetView rightToLeft="1" workbookViewId="0">
      <selection activeCell="A26" sqref="A26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67.5" customHeight="1" x14ac:dyDescent="0.25">
      <c r="A1" s="32" t="s">
        <v>346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347</v>
      </c>
      <c r="C3" s="3" t="s">
        <v>348</v>
      </c>
      <c r="D3" s="3" t="s">
        <v>349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80</v>
      </c>
      <c r="C4" s="3" t="s">
        <v>25</v>
      </c>
      <c r="D4" s="3" t="s">
        <v>350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351</v>
      </c>
      <c r="C5" s="3" t="s">
        <v>79</v>
      </c>
      <c r="D5" s="3" t="s">
        <v>350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161</v>
      </c>
      <c r="C6" s="3" t="s">
        <v>352</v>
      </c>
      <c r="D6" s="3" t="s">
        <v>349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353</v>
      </c>
      <c r="C7" s="3" t="s">
        <v>354</v>
      </c>
      <c r="D7" s="3" t="s">
        <v>350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353</v>
      </c>
      <c r="C8" s="3" t="s">
        <v>355</v>
      </c>
      <c r="D8" s="3" t="s">
        <v>349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356</v>
      </c>
      <c r="C9" s="3" t="s">
        <v>357</v>
      </c>
      <c r="D9" s="3" t="s">
        <v>350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358</v>
      </c>
      <c r="C10" s="3" t="s">
        <v>359</v>
      </c>
      <c r="D10" s="3" t="s">
        <v>349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360</v>
      </c>
      <c r="C11" s="3" t="s">
        <v>234</v>
      </c>
      <c r="D11" s="3" t="s">
        <v>349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361</v>
      </c>
      <c r="C12" s="3" t="s">
        <v>39</v>
      </c>
      <c r="D12" s="3" t="s">
        <v>349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362</v>
      </c>
      <c r="C13" s="3" t="s">
        <v>31</v>
      </c>
      <c r="D13" s="3" t="s">
        <v>350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363</v>
      </c>
      <c r="C14" s="3" t="s">
        <v>364</v>
      </c>
      <c r="D14" s="3" t="s">
        <v>349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365</v>
      </c>
      <c r="C15" s="3" t="s">
        <v>366</v>
      </c>
      <c r="D15" s="3" t="s">
        <v>350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367</v>
      </c>
      <c r="C16" s="3" t="s">
        <v>25</v>
      </c>
      <c r="D16" s="3" t="s">
        <v>349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368</v>
      </c>
      <c r="C17" s="3" t="s">
        <v>369</v>
      </c>
      <c r="D17" s="3" t="s">
        <v>350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370</v>
      </c>
      <c r="C18" s="3" t="s">
        <v>371</v>
      </c>
      <c r="D18" s="3" t="s">
        <v>350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372</v>
      </c>
      <c r="C19" s="3" t="s">
        <v>373</v>
      </c>
      <c r="D19" s="3" t="s">
        <v>349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 t="s">
        <v>374</v>
      </c>
      <c r="C20" s="3" t="s">
        <v>375</v>
      </c>
      <c r="D20" s="3" t="s">
        <v>349</v>
      </c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DD7EE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28515625" bestFit="1" customWidth="1"/>
    <col min="2" max="2" width="11.5703125" bestFit="1" customWidth="1"/>
    <col min="3" max="3" width="9.42578125" bestFit="1" customWidth="1"/>
    <col min="4" max="4" width="6.5703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57" customHeight="1" x14ac:dyDescent="0.25">
      <c r="A1" s="33" t="s">
        <v>376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0" x14ac:dyDescent="0.25">
      <c r="A3" s="2">
        <v>1</v>
      </c>
      <c r="B3" s="3" t="s">
        <v>377</v>
      </c>
      <c r="C3" s="3" t="s">
        <v>102</v>
      </c>
      <c r="D3" s="3" t="s">
        <v>378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379</v>
      </c>
      <c r="C4" s="3" t="s">
        <v>17</v>
      </c>
      <c r="D4" s="3" t="s">
        <v>378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14</v>
      </c>
      <c r="C5" s="3" t="s">
        <v>234</v>
      </c>
      <c r="D5" s="3" t="s">
        <v>378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14</v>
      </c>
      <c r="C6" s="3" t="s">
        <v>380</v>
      </c>
      <c r="D6" s="3" t="s">
        <v>350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381</v>
      </c>
      <c r="C7" s="3" t="s">
        <v>102</v>
      </c>
      <c r="D7" s="3" t="s">
        <v>378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382</v>
      </c>
      <c r="C8" s="3" t="s">
        <v>102</v>
      </c>
      <c r="D8" s="3" t="s">
        <v>378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383</v>
      </c>
      <c r="C9" s="3" t="s">
        <v>384</v>
      </c>
      <c r="D9" s="3" t="s">
        <v>378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385</v>
      </c>
      <c r="C10" s="3" t="s">
        <v>92</v>
      </c>
      <c r="D10" s="3" t="s">
        <v>378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386</v>
      </c>
      <c r="C11" s="3" t="s">
        <v>227</v>
      </c>
      <c r="D11" s="3" t="s">
        <v>378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387</v>
      </c>
      <c r="C12" s="3" t="s">
        <v>388</v>
      </c>
      <c r="D12" s="3" t="s">
        <v>350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85</v>
      </c>
      <c r="C13" s="3" t="s">
        <v>389</v>
      </c>
      <c r="D13" s="3" t="s">
        <v>378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390</v>
      </c>
      <c r="C14" s="3" t="s">
        <v>391</v>
      </c>
      <c r="D14" s="3" t="s">
        <v>378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26</v>
      </c>
      <c r="C15" s="3" t="s">
        <v>166</v>
      </c>
      <c r="D15" s="3" t="s">
        <v>378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26</v>
      </c>
      <c r="C16" s="3" t="s">
        <v>17</v>
      </c>
      <c r="D16" s="3" t="s">
        <v>350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392</v>
      </c>
      <c r="C17" s="3" t="s">
        <v>35</v>
      </c>
      <c r="D17" s="3" t="s">
        <v>378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393</v>
      </c>
      <c r="C18" s="3" t="s">
        <v>150</v>
      </c>
      <c r="D18" s="3" t="s">
        <v>378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394</v>
      </c>
      <c r="C19" s="3" t="s">
        <v>111</v>
      </c>
      <c r="D19" s="3" t="s">
        <v>378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 t="s">
        <v>395</v>
      </c>
      <c r="C20" s="3" t="s">
        <v>396</v>
      </c>
      <c r="D20" s="3" t="s">
        <v>349</v>
      </c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 t="s">
        <v>397</v>
      </c>
      <c r="C21" s="3" t="s">
        <v>398</v>
      </c>
      <c r="D21" s="3" t="s">
        <v>349</v>
      </c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 t="s">
        <v>399</v>
      </c>
      <c r="C22" s="3" t="s">
        <v>150</v>
      </c>
      <c r="D22" s="3" t="s">
        <v>378</v>
      </c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 t="s">
        <v>304</v>
      </c>
      <c r="C23" s="3" t="s">
        <v>37</v>
      </c>
      <c r="D23" s="3" t="s">
        <v>378</v>
      </c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 t="s">
        <v>58</v>
      </c>
      <c r="C24" s="3" t="s">
        <v>400</v>
      </c>
      <c r="D24" s="3" t="s">
        <v>349</v>
      </c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7"/>
      <c r="B38" s="7"/>
      <c r="C38" s="7"/>
      <c r="D38" s="7"/>
      <c r="E38" s="7" t="e">
        <f>AVERAGE(E3:E37)</f>
        <v>#DIV/0!</v>
      </c>
      <c r="F38" s="7" t="e">
        <f>AVERAGE(F3:F37)</f>
        <v>#DIV/0!</v>
      </c>
      <c r="G38" s="7" t="e">
        <f>AVERAGE(G3:G37)</f>
        <v>#DIV/0!</v>
      </c>
      <c r="H38" s="7" t="e">
        <f>AVERAGE(H3:H37)</f>
        <v>#DIV/0!</v>
      </c>
      <c r="I38" s="7" t="e">
        <f>AVERAGE(I3:I37)</f>
        <v>#DIV/0!</v>
      </c>
      <c r="J38" s="7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DC3E6"/>
  </sheetPr>
  <dimension ref="A1:J38"/>
  <sheetViews>
    <sheetView rightToLeft="1" workbookViewId="0">
      <selection sqref="A1:J1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0.5703125" bestFit="1" customWidth="1"/>
    <col min="4" max="4" width="7.42578125" bestFit="1" customWidth="1"/>
    <col min="5" max="7" width="17" customWidth="1"/>
    <col min="8" max="8" width="17" bestFit="1" customWidth="1"/>
    <col min="9" max="9" width="17" customWidth="1"/>
    <col min="10" max="10" width="51" customWidth="1"/>
  </cols>
  <sheetData>
    <row r="1" spans="1:10" ht="67.5" customHeight="1" x14ac:dyDescent="0.25">
      <c r="A1" s="32" t="s">
        <v>401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181</v>
      </c>
      <c r="C3" s="3" t="s">
        <v>291</v>
      </c>
      <c r="D3" s="3" t="s">
        <v>402</v>
      </c>
      <c r="E3" s="3"/>
      <c r="F3" s="3"/>
      <c r="G3" s="3"/>
      <c r="H3" s="3"/>
      <c r="I3" s="3"/>
      <c r="J3" s="3"/>
    </row>
    <row r="4" spans="1:10" x14ac:dyDescent="0.25">
      <c r="A4" s="2">
        <v>2</v>
      </c>
      <c r="B4" s="3" t="s">
        <v>127</v>
      </c>
      <c r="C4" s="3" t="s">
        <v>403</v>
      </c>
      <c r="D4" s="3" t="s">
        <v>402</v>
      </c>
      <c r="E4" s="3"/>
      <c r="F4" s="3"/>
      <c r="G4" s="3"/>
      <c r="H4" s="3"/>
      <c r="I4" s="3"/>
      <c r="J4" s="3"/>
    </row>
    <row r="5" spans="1:10" x14ac:dyDescent="0.25">
      <c r="A5" s="2">
        <v>3</v>
      </c>
      <c r="B5" s="3" t="s">
        <v>404</v>
      </c>
      <c r="C5" s="3" t="s">
        <v>405</v>
      </c>
      <c r="D5" s="3" t="s">
        <v>402</v>
      </c>
      <c r="E5" s="3"/>
      <c r="F5" s="3"/>
      <c r="G5" s="3"/>
      <c r="H5" s="3"/>
      <c r="I5" s="3"/>
      <c r="J5" s="3"/>
    </row>
    <row r="6" spans="1:10" x14ac:dyDescent="0.25">
      <c r="A6" s="2">
        <v>4</v>
      </c>
      <c r="B6" s="3" t="s">
        <v>129</v>
      </c>
      <c r="C6" s="3" t="s">
        <v>78</v>
      </c>
      <c r="D6" s="3" t="s">
        <v>402</v>
      </c>
      <c r="E6" s="3"/>
      <c r="F6" s="3"/>
      <c r="G6" s="3"/>
      <c r="H6" s="3"/>
      <c r="I6" s="3"/>
      <c r="J6" s="3"/>
    </row>
    <row r="7" spans="1:10" x14ac:dyDescent="0.25">
      <c r="A7" s="2">
        <v>5</v>
      </c>
      <c r="B7" s="3" t="s">
        <v>406</v>
      </c>
      <c r="C7" s="3" t="s">
        <v>247</v>
      </c>
      <c r="D7" s="3" t="s">
        <v>402</v>
      </c>
      <c r="E7" s="3"/>
      <c r="F7" s="3"/>
      <c r="G7" s="3"/>
      <c r="H7" s="3"/>
      <c r="I7" s="3"/>
      <c r="J7" s="3"/>
    </row>
    <row r="8" spans="1:10" x14ac:dyDescent="0.25">
      <c r="A8" s="2">
        <v>6</v>
      </c>
      <c r="B8" s="3" t="s">
        <v>92</v>
      </c>
      <c r="C8" s="3" t="s">
        <v>407</v>
      </c>
      <c r="D8" s="3" t="s">
        <v>402</v>
      </c>
      <c r="E8" s="3"/>
      <c r="F8" s="3"/>
      <c r="G8" s="3"/>
      <c r="H8" s="3"/>
      <c r="I8" s="3"/>
      <c r="J8" s="3"/>
    </row>
    <row r="9" spans="1:10" x14ac:dyDescent="0.25">
      <c r="A9" s="2">
        <v>7</v>
      </c>
      <c r="B9" s="3" t="s">
        <v>408</v>
      </c>
      <c r="C9" s="3" t="s">
        <v>409</v>
      </c>
      <c r="D9" s="3" t="s">
        <v>402</v>
      </c>
      <c r="E9" s="3"/>
      <c r="F9" s="3"/>
      <c r="G9" s="3"/>
      <c r="H9" s="3"/>
      <c r="I9" s="3"/>
      <c r="J9" s="3"/>
    </row>
    <row r="10" spans="1:10" x14ac:dyDescent="0.25">
      <c r="A10" s="2">
        <v>8</v>
      </c>
      <c r="B10" s="3" t="s">
        <v>410</v>
      </c>
      <c r="C10" s="3" t="s">
        <v>290</v>
      </c>
      <c r="D10" s="3" t="s">
        <v>402</v>
      </c>
      <c r="E10" s="3"/>
      <c r="F10" s="3"/>
      <c r="G10" s="3"/>
      <c r="H10" s="3"/>
      <c r="I10" s="3"/>
      <c r="J10" s="3"/>
    </row>
    <row r="11" spans="1:10" x14ac:dyDescent="0.25">
      <c r="A11" s="2">
        <v>9</v>
      </c>
      <c r="B11" s="3" t="s">
        <v>87</v>
      </c>
      <c r="C11" s="3" t="s">
        <v>162</v>
      </c>
      <c r="D11" s="3" t="s">
        <v>402</v>
      </c>
      <c r="E11" s="3"/>
      <c r="F11" s="3"/>
      <c r="G11" s="3"/>
      <c r="H11" s="3"/>
      <c r="I11" s="3"/>
      <c r="J11" s="3"/>
    </row>
    <row r="12" spans="1:10" x14ac:dyDescent="0.25">
      <c r="A12" s="2">
        <v>10</v>
      </c>
      <c r="B12" s="3" t="s">
        <v>26</v>
      </c>
      <c r="C12" s="3" t="s">
        <v>79</v>
      </c>
      <c r="D12" s="3" t="s">
        <v>402</v>
      </c>
      <c r="E12" s="3"/>
      <c r="F12" s="3"/>
      <c r="G12" s="3"/>
      <c r="H12" s="3"/>
      <c r="I12" s="3"/>
      <c r="J12" s="3"/>
    </row>
    <row r="13" spans="1:10" x14ac:dyDescent="0.25">
      <c r="A13" s="2">
        <v>11</v>
      </c>
      <c r="B13" s="3" t="s">
        <v>26</v>
      </c>
      <c r="C13" s="3" t="s">
        <v>411</v>
      </c>
      <c r="D13" s="3" t="s">
        <v>402</v>
      </c>
      <c r="E13" s="3"/>
      <c r="F13" s="3"/>
      <c r="G13" s="3"/>
      <c r="H13" s="3"/>
      <c r="I13" s="3"/>
      <c r="J13" s="3"/>
    </row>
    <row r="14" spans="1:10" x14ac:dyDescent="0.25">
      <c r="A14" s="2">
        <v>12</v>
      </c>
      <c r="B14" s="3" t="s">
        <v>232</v>
      </c>
      <c r="C14" s="3" t="s">
        <v>354</v>
      </c>
      <c r="D14" s="3" t="s">
        <v>402</v>
      </c>
      <c r="E14" s="3"/>
      <c r="F14" s="3"/>
      <c r="G14" s="3"/>
      <c r="H14" s="3"/>
      <c r="I14" s="3"/>
      <c r="J14" s="3"/>
    </row>
    <row r="15" spans="1:10" x14ac:dyDescent="0.25">
      <c r="A15" s="2">
        <v>13</v>
      </c>
      <c r="B15" s="3" t="s">
        <v>30</v>
      </c>
      <c r="C15" s="3" t="s">
        <v>72</v>
      </c>
      <c r="D15" s="3" t="s">
        <v>402</v>
      </c>
      <c r="E15" s="3"/>
      <c r="F15" s="3"/>
      <c r="G15" s="3"/>
      <c r="H15" s="3"/>
      <c r="I15" s="3"/>
      <c r="J15" s="3"/>
    </row>
    <row r="16" spans="1:10" x14ac:dyDescent="0.25">
      <c r="A16" s="2">
        <v>14</v>
      </c>
      <c r="B16" s="3" t="s">
        <v>412</v>
      </c>
      <c r="C16" s="3" t="s">
        <v>265</v>
      </c>
      <c r="D16" s="3" t="s">
        <v>402</v>
      </c>
      <c r="E16" s="3"/>
      <c r="F16" s="3"/>
      <c r="G16" s="3"/>
      <c r="H16" s="3"/>
      <c r="I16" s="3"/>
      <c r="J16" s="3"/>
    </row>
    <row r="17" spans="1:10" x14ac:dyDescent="0.25">
      <c r="A17" s="2">
        <v>15</v>
      </c>
      <c r="B17" s="3" t="s">
        <v>413</v>
      </c>
      <c r="C17" s="3" t="s">
        <v>414</v>
      </c>
      <c r="D17" s="3" t="s">
        <v>402</v>
      </c>
      <c r="E17" s="3"/>
      <c r="F17" s="3"/>
      <c r="G17" s="3"/>
      <c r="H17" s="3"/>
      <c r="I17" s="3"/>
      <c r="J17" s="3"/>
    </row>
    <row r="18" spans="1:10" x14ac:dyDescent="0.25">
      <c r="A18" s="2">
        <v>16</v>
      </c>
      <c r="B18" s="3" t="s">
        <v>263</v>
      </c>
      <c r="C18" s="3" t="s">
        <v>33</v>
      </c>
      <c r="D18" s="3" t="s">
        <v>402</v>
      </c>
      <c r="E18" s="3"/>
      <c r="F18" s="3"/>
      <c r="G18" s="3"/>
      <c r="H18" s="3"/>
      <c r="I18" s="3"/>
      <c r="J18" s="3"/>
    </row>
    <row r="19" spans="1:10" x14ac:dyDescent="0.25">
      <c r="A19" s="2">
        <v>17</v>
      </c>
      <c r="B19" s="3" t="s">
        <v>165</v>
      </c>
      <c r="C19" s="3" t="s">
        <v>15</v>
      </c>
      <c r="D19" s="3" t="s">
        <v>402</v>
      </c>
      <c r="E19" s="3"/>
      <c r="F19" s="3"/>
      <c r="G19" s="3"/>
      <c r="H19" s="3"/>
      <c r="I19" s="3"/>
      <c r="J19" s="3"/>
    </row>
    <row r="20" spans="1:10" x14ac:dyDescent="0.25">
      <c r="A20" s="2">
        <v>18</v>
      </c>
      <c r="B20" s="3" t="s">
        <v>415</v>
      </c>
      <c r="C20" s="3" t="s">
        <v>416</v>
      </c>
      <c r="D20" s="3" t="s">
        <v>402</v>
      </c>
      <c r="E20" s="3"/>
      <c r="F20" s="3"/>
      <c r="G20" s="3"/>
      <c r="H20" s="3"/>
      <c r="I20" s="3"/>
      <c r="J20" s="3"/>
    </row>
    <row r="21" spans="1:10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2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2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2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2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2">
        <v>33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2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2">
        <v>35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4"/>
      <c r="B38" s="4"/>
      <c r="C38" s="4"/>
      <c r="D38" s="4"/>
      <c r="E38" s="4" t="e">
        <f>AVERAGE(E3:E37)</f>
        <v>#DIV/0!</v>
      </c>
      <c r="F38" s="4" t="e">
        <f>AVERAGE(F3:F37)</f>
        <v>#DIV/0!</v>
      </c>
      <c r="G38" s="4" t="e">
        <f>AVERAGE(G3:G37)</f>
        <v>#DIV/0!</v>
      </c>
      <c r="H38" s="4" t="e">
        <f>AVERAGE(H3:H37)</f>
        <v>#DIV/0!</v>
      </c>
      <c r="I38" s="4" t="e">
        <f>AVERAGE(I3:I37)</f>
        <v>#DIV/0!</v>
      </c>
      <c r="J38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6"/>
  <sheetViews>
    <sheetView rightToLeft="1" workbookViewId="0">
      <selection activeCell="F23" sqref="F23"/>
    </sheetView>
  </sheetViews>
  <sheetFormatPr defaultRowHeight="15" x14ac:dyDescent="0.25"/>
  <sheetData>
    <row r="1" spans="1:20" ht="47.25" customHeight="1" thickTop="1" thickBot="1" x14ac:dyDescent="0.3">
      <c r="A1" s="8" t="s">
        <v>417</v>
      </c>
      <c r="B1" s="56" t="s">
        <v>418</v>
      </c>
      <c r="C1" s="49"/>
      <c r="D1" s="40" t="s">
        <v>419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  <c r="P1" s="9"/>
      <c r="Q1" s="9"/>
      <c r="R1" s="9"/>
      <c r="S1" s="9"/>
      <c r="T1" s="9"/>
    </row>
    <row r="2" spans="1:20" ht="33" customHeight="1" thickTop="1" thickBot="1" x14ac:dyDescent="0.3">
      <c r="A2" s="10" t="s">
        <v>420</v>
      </c>
      <c r="B2" s="39">
        <v>141309</v>
      </c>
      <c r="C2" s="36"/>
      <c r="D2" s="11"/>
      <c r="E2" s="45" t="s">
        <v>421</v>
      </c>
      <c r="F2" s="44"/>
      <c r="G2" s="43" t="s">
        <v>422</v>
      </c>
      <c r="H2" s="44"/>
      <c r="I2" s="47" t="s">
        <v>423</v>
      </c>
      <c r="J2" s="44"/>
      <c r="K2" s="46" t="s">
        <v>424</v>
      </c>
      <c r="L2" s="44"/>
      <c r="M2" s="37" t="s">
        <v>425</v>
      </c>
      <c r="N2" s="38"/>
      <c r="O2" s="12"/>
      <c r="P2" s="13"/>
      <c r="Q2" s="13"/>
      <c r="R2" s="13"/>
      <c r="S2" s="13"/>
      <c r="T2" s="13"/>
    </row>
    <row r="3" spans="1:20" ht="21.75" customHeight="1" thickBot="1" x14ac:dyDescent="0.3">
      <c r="A3" s="50" t="s">
        <v>426</v>
      </c>
      <c r="B3" s="51"/>
      <c r="C3" s="52"/>
      <c r="D3" s="48" t="s">
        <v>427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49"/>
      <c r="P3" s="13"/>
      <c r="Q3" s="13"/>
      <c r="R3" s="13"/>
      <c r="S3" s="13"/>
      <c r="T3" s="13"/>
    </row>
    <row r="4" spans="1:20" ht="21.75" customHeight="1" thickBot="1" x14ac:dyDescent="0.3">
      <c r="A4" s="53"/>
      <c r="B4" s="54"/>
      <c r="C4" s="55"/>
      <c r="D4" s="34" t="s">
        <v>428</v>
      </c>
      <c r="E4" s="35"/>
      <c r="F4" s="35"/>
      <c r="G4" s="36"/>
      <c r="H4" s="34" t="s">
        <v>429</v>
      </c>
      <c r="I4" s="35"/>
      <c r="J4" s="35"/>
      <c r="K4" s="36"/>
      <c r="L4" s="48" t="s">
        <v>430</v>
      </c>
      <c r="M4" s="35"/>
      <c r="N4" s="35"/>
      <c r="O4" s="49"/>
      <c r="P4" s="13"/>
      <c r="Q4" s="13"/>
      <c r="R4" s="13"/>
      <c r="S4" s="13"/>
      <c r="T4" s="13"/>
    </row>
    <row r="5" spans="1:20" ht="30.75" customHeight="1" thickBot="1" x14ac:dyDescent="0.3">
      <c r="A5" s="14" t="s">
        <v>4</v>
      </c>
      <c r="B5" s="15" t="s">
        <v>431</v>
      </c>
      <c r="C5" s="15" t="s">
        <v>432</v>
      </c>
      <c r="D5" s="16" t="s">
        <v>433</v>
      </c>
      <c r="E5" s="17" t="s">
        <v>434</v>
      </c>
      <c r="F5" s="18" t="s">
        <v>435</v>
      </c>
      <c r="G5" s="19" t="s">
        <v>436</v>
      </c>
      <c r="H5" s="16" t="s">
        <v>433</v>
      </c>
      <c r="I5" s="17" t="s">
        <v>434</v>
      </c>
      <c r="J5" s="18" t="s">
        <v>435</v>
      </c>
      <c r="K5" s="19" t="s">
        <v>436</v>
      </c>
      <c r="L5" s="16" t="s">
        <v>433</v>
      </c>
      <c r="M5" s="17" t="s">
        <v>434</v>
      </c>
      <c r="N5" s="18" t="s">
        <v>435</v>
      </c>
      <c r="O5" s="19" t="s">
        <v>436</v>
      </c>
      <c r="P5" s="13"/>
      <c r="Q5" s="13"/>
      <c r="R5" s="13"/>
      <c r="S5" s="13"/>
      <c r="T5" s="13"/>
    </row>
    <row r="6" spans="1:20" ht="16.5" customHeight="1" thickBot="1" x14ac:dyDescent="0.3">
      <c r="A6" s="14" t="s">
        <v>437</v>
      </c>
      <c r="B6" s="20">
        <v>62</v>
      </c>
      <c r="C6" s="21"/>
      <c r="D6" s="22"/>
      <c r="E6" s="23"/>
      <c r="F6" s="23"/>
      <c r="G6" s="23"/>
      <c r="H6" s="22"/>
      <c r="I6" s="23"/>
      <c r="J6" s="23"/>
      <c r="K6" s="23"/>
      <c r="L6" s="22"/>
      <c r="M6" s="23"/>
      <c r="N6" s="23"/>
      <c r="O6" s="23"/>
      <c r="P6" s="13"/>
      <c r="Q6" s="24">
        <v>0</v>
      </c>
      <c r="R6" s="13"/>
      <c r="S6" s="13"/>
      <c r="T6" s="13"/>
    </row>
    <row r="7" spans="1:20" ht="16.5" customHeight="1" thickBot="1" x14ac:dyDescent="0.3">
      <c r="A7" s="25"/>
      <c r="B7" s="26"/>
      <c r="C7" s="26"/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13"/>
      <c r="Q7" s="13"/>
      <c r="R7" s="13"/>
      <c r="S7" s="13"/>
      <c r="T7" s="13"/>
    </row>
    <row r="8" spans="1:20" ht="16.5" customHeight="1" thickBot="1" x14ac:dyDescent="0.3">
      <c r="A8" s="14" t="s">
        <v>438</v>
      </c>
      <c r="B8" s="20">
        <v>70</v>
      </c>
      <c r="C8" s="21"/>
      <c r="D8" s="22"/>
      <c r="E8" s="23"/>
      <c r="F8" s="23"/>
      <c r="G8" s="23"/>
      <c r="H8" s="23"/>
      <c r="I8" s="23"/>
      <c r="J8" s="23"/>
      <c r="K8" s="23"/>
      <c r="L8" s="22"/>
      <c r="M8" s="22"/>
      <c r="N8" s="22"/>
      <c r="O8" s="22"/>
      <c r="P8" s="13"/>
      <c r="Q8" s="24">
        <v>0</v>
      </c>
      <c r="R8" s="13"/>
      <c r="S8" s="13"/>
      <c r="T8" s="13"/>
    </row>
    <row r="9" spans="1:20" ht="16.5" customHeight="1" thickBot="1" x14ac:dyDescent="0.3">
      <c r="A9" s="25"/>
      <c r="B9" s="26"/>
      <c r="C9" s="26"/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13"/>
      <c r="Q9" s="13"/>
      <c r="R9" s="13"/>
      <c r="S9" s="13"/>
      <c r="T9" s="13"/>
    </row>
    <row r="10" spans="1:20" ht="16.5" customHeight="1" thickBot="1" x14ac:dyDescent="0.3">
      <c r="A10" s="14" t="s">
        <v>439</v>
      </c>
      <c r="B10" s="20">
        <v>78</v>
      </c>
      <c r="C10" s="21"/>
      <c r="D10" s="22">
        <v>13</v>
      </c>
      <c r="E10" s="23"/>
      <c r="F10" s="23"/>
      <c r="G10" s="23"/>
      <c r="H10" s="23"/>
      <c r="I10" s="23"/>
      <c r="J10" s="23"/>
      <c r="K10" s="23"/>
      <c r="L10" s="22"/>
      <c r="M10" s="22"/>
      <c r="N10" s="22">
        <v>12</v>
      </c>
      <c r="O10" s="22"/>
      <c r="P10" s="13"/>
      <c r="Q10" s="24">
        <v>0</v>
      </c>
      <c r="R10" s="13"/>
      <c r="S10" s="13"/>
      <c r="T10" s="13"/>
    </row>
    <row r="11" spans="1:20" ht="16.5" customHeight="1" thickBot="1" x14ac:dyDescent="0.3">
      <c r="A11" s="25"/>
      <c r="B11" s="26"/>
      <c r="C11" s="26"/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13"/>
      <c r="Q11" s="13"/>
      <c r="R11" s="13"/>
      <c r="S11" s="13"/>
      <c r="T11" s="13"/>
    </row>
    <row r="12" spans="1:20" ht="15.75" customHeight="1" thickBot="1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3"/>
      <c r="T12" s="13"/>
    </row>
    <row r="13" spans="1:20" ht="16.5" customHeight="1" thickBot="1" x14ac:dyDescent="0.3">
      <c r="A13" s="14" t="s">
        <v>440</v>
      </c>
      <c r="B13" s="20">
        <v>0</v>
      </c>
      <c r="C13" s="21"/>
      <c r="D13" s="28"/>
      <c r="E13" s="22"/>
      <c r="F13" s="22"/>
      <c r="G13" s="23"/>
      <c r="H13" s="28"/>
      <c r="I13" s="22"/>
      <c r="J13" s="22"/>
      <c r="K13" s="23"/>
      <c r="L13" s="28"/>
      <c r="M13" s="22"/>
      <c r="N13" s="22"/>
      <c r="O13" s="22"/>
      <c r="P13" s="13"/>
      <c r="Q13" s="24" t="e">
        <v>#DIV/0!</v>
      </c>
      <c r="R13" s="13"/>
      <c r="S13" s="13"/>
      <c r="T13" s="13"/>
    </row>
    <row r="14" spans="1:20" ht="16.5" customHeight="1" thickBot="1" x14ac:dyDescent="0.3">
      <c r="A14" s="14" t="s">
        <v>441</v>
      </c>
      <c r="B14" s="20">
        <v>0</v>
      </c>
      <c r="C14" s="21"/>
      <c r="D14" s="22"/>
      <c r="E14" s="23"/>
      <c r="F14" s="23"/>
      <c r="G14" s="23"/>
      <c r="H14" s="23"/>
      <c r="I14" s="23"/>
      <c r="J14" s="23"/>
      <c r="K14" s="23"/>
      <c r="L14" s="22"/>
      <c r="M14" s="22"/>
      <c r="N14" s="22"/>
      <c r="O14" s="22"/>
      <c r="P14" s="13"/>
      <c r="Q14" s="24" t="e">
        <v>#DIV/0!</v>
      </c>
      <c r="R14" s="13"/>
      <c r="S14" s="13"/>
      <c r="T14" s="13"/>
    </row>
    <row r="15" spans="1:20" ht="16.5" customHeight="1" thickBot="1" x14ac:dyDescent="0.3">
      <c r="A15" s="14" t="s">
        <v>442</v>
      </c>
      <c r="B15" s="20">
        <v>0</v>
      </c>
      <c r="C15" s="21"/>
      <c r="D15" s="22"/>
      <c r="E15" s="23"/>
      <c r="F15" s="23"/>
      <c r="G15" s="23"/>
      <c r="H15" s="23"/>
      <c r="I15" s="23"/>
      <c r="J15" s="23"/>
      <c r="K15" s="23"/>
      <c r="L15" s="22"/>
      <c r="M15" s="22"/>
      <c r="N15" s="22"/>
      <c r="O15" s="22"/>
      <c r="P15" s="13"/>
      <c r="Q15" s="24" t="e">
        <v>#DIV/0!</v>
      </c>
      <c r="R15" s="13"/>
      <c r="S15" s="13"/>
      <c r="T15" s="13"/>
    </row>
    <row r="16" spans="1:20" ht="15.75" customHeight="1" thickBot="1" x14ac:dyDescent="0.3">
      <c r="A16" s="13"/>
      <c r="B16" s="13"/>
      <c r="C16" s="13"/>
      <c r="D16" s="13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</sheetData>
  <mergeCells count="13">
    <mergeCell ref="H4:K4"/>
    <mergeCell ref="M2:N2"/>
    <mergeCell ref="B2:C2"/>
    <mergeCell ref="D1:O1"/>
    <mergeCell ref="G2:H2"/>
    <mergeCell ref="E2:F2"/>
    <mergeCell ref="K2:L2"/>
    <mergeCell ref="I2:J2"/>
    <mergeCell ref="L4:O4"/>
    <mergeCell ref="A3:C4"/>
    <mergeCell ref="D3:O3"/>
    <mergeCell ref="B1:C1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ז' 1 מדעית</vt:lpstr>
      <vt:lpstr>גיליון1</vt:lpstr>
      <vt:lpstr>ז׳ א׳</vt:lpstr>
      <vt:lpstr>ז' א1</vt:lpstr>
      <vt:lpstr>ז' 2 מקדמת</vt:lpstr>
      <vt:lpstr>ח' 1 מדעית</vt:lpstr>
      <vt:lpstr>ח׳ א׳</vt:lpstr>
      <vt:lpstr>ח׳ א1</vt:lpstr>
      <vt:lpstr>ח׳ א׳1</vt:lpstr>
      <vt:lpstr>ח׳ 2 מקדמת</vt:lpstr>
      <vt:lpstr>ח׳ 2 מקדמת - טל נחמיה</vt:lpstr>
      <vt:lpstr>ט׳ 1 מדעית</vt:lpstr>
      <vt:lpstr>ט׳ א׳</vt:lpstr>
      <vt:lpstr>ט׳ א - 1</vt:lpstr>
      <vt:lpstr>ט׳ א1 - נורית מויאל</vt:lpstr>
      <vt:lpstr>ט׳ 2 מקדמת</vt:lpstr>
      <vt:lpstr>סיכום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יניב רז</dc:creator>
  <cp:lastModifiedBy>יניב רז</cp:lastModifiedBy>
  <dcterms:created xsi:type="dcterms:W3CDTF">2025-11-30T20:18:58Z</dcterms:created>
  <dcterms:modified xsi:type="dcterms:W3CDTF">2025-12-17T14:26:36Z</dcterms:modified>
</cp:coreProperties>
</file>